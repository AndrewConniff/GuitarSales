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artifacts\"/>
    </mc:Choice>
  </mc:AlternateContent>
  <xr:revisionPtr revIDLastSave="0" documentId="13_ncr:1_{B999E5F1-FBA3-40AF-A6FC-345AB25E3623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Inventory" sheetId="1" r:id="rId1"/>
    <sheet name="RiskSummary" sheetId="2" r:id="rId2"/>
    <sheet name="AgentGroundingNotes" sheetId="3" r:id="rId3"/>
  </sheets>
  <definedNames>
    <definedName name="_xlnm._FilterDatabase" localSheetId="0" hidden="1">Inventory!$A$5:$K$130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C7" i="2"/>
  <c r="B7" i="2"/>
  <c r="C6" i="2"/>
  <c r="B6" i="2"/>
</calcChain>
</file>

<file path=xl/sharedStrings.xml><?xml version="1.0" encoding="utf-8"?>
<sst xmlns="http://schemas.openxmlformats.org/spreadsheetml/2006/main" count="1031" uniqueCount="182">
  <si>
    <t>Wood Supplies and Availability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</si>
  <si>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</si>
  <si>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</si>
  <si>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MaterialID</t>
  </si>
  <si>
    <t>WoodType</t>
  </si>
  <si>
    <t>UseCase</t>
  </si>
  <si>
    <t>Grade</t>
  </si>
  <si>
    <t>SupplierRegion</t>
  </si>
  <si>
    <t>BoardFeetAvailable</t>
  </si>
  <si>
    <t>LeadTimeDays</t>
  </si>
  <si>
    <t>SustainabilityStatus</t>
  </si>
  <si>
    <t>CostPerBoardFoot</t>
  </si>
  <si>
    <t>RiskLevel</t>
  </si>
  <si>
    <t>RecommendedUse</t>
  </si>
  <si>
    <t>WOOD-0001</t>
  </si>
  <si>
    <t>Sitka Spruce</t>
  </si>
  <si>
    <t>Soundboard</t>
  </si>
  <si>
    <t>A</t>
  </si>
  <si>
    <t>Mexico</t>
  </si>
  <si>
    <t>Certified</t>
  </si>
  <si>
    <t>High</t>
  </si>
  <si>
    <t>Production build</t>
  </si>
  <si>
    <t>WOOD-0002</t>
  </si>
  <si>
    <t>Cedar</t>
  </si>
  <si>
    <t>AAA</t>
  </si>
  <si>
    <t>US Northeast</t>
  </si>
  <si>
    <t>Low</t>
  </si>
  <si>
    <t>WOOD-0003</t>
  </si>
  <si>
    <t>Rosewood Alternative</t>
  </si>
  <si>
    <t>Back and sides</t>
  </si>
  <si>
    <t>Medium</t>
  </si>
  <si>
    <t>Repair program</t>
  </si>
  <si>
    <t>WOOD-0004</t>
  </si>
  <si>
    <t>Sapele</t>
  </si>
  <si>
    <t>Neck</t>
  </si>
  <si>
    <t>WOOD-0005</t>
  </si>
  <si>
    <t>AA</t>
  </si>
  <si>
    <t>Canada</t>
  </si>
  <si>
    <t>Restricted</t>
  </si>
  <si>
    <t>Prototype</t>
  </si>
  <si>
    <t>WOOD-0006</t>
  </si>
  <si>
    <t>Mahogany</t>
  </si>
  <si>
    <t>Central America</t>
  </si>
  <si>
    <t>Needs review</t>
  </si>
  <si>
    <t>WOOD-0007</t>
  </si>
  <si>
    <t>Koa Alternative</t>
  </si>
  <si>
    <t>Trim</t>
  </si>
  <si>
    <t>Custom shop</t>
  </si>
  <si>
    <t>WOOD-0008</t>
  </si>
  <si>
    <t>US Pacific</t>
  </si>
  <si>
    <t>Documented</t>
  </si>
  <si>
    <t>WOOD-0009</t>
  </si>
  <si>
    <t>Walnut</t>
  </si>
  <si>
    <t>WOOD-0010</t>
  </si>
  <si>
    <t>WOOD-0011</t>
  </si>
  <si>
    <t>WOOD-0012</t>
  </si>
  <si>
    <t>Ebony</t>
  </si>
  <si>
    <t>Fingerboard</t>
  </si>
  <si>
    <t>WOOD-0013</t>
  </si>
  <si>
    <t>Maple</t>
  </si>
  <si>
    <t>Master</t>
  </si>
  <si>
    <t>WOOD-0014</t>
  </si>
  <si>
    <t>WOOD-0015</t>
  </si>
  <si>
    <t>WOOD-0016</t>
  </si>
  <si>
    <t>WOOD-0017</t>
  </si>
  <si>
    <t>WOOD-0018</t>
  </si>
  <si>
    <t>WOOD-0019</t>
  </si>
  <si>
    <t>WOOD-0020</t>
  </si>
  <si>
    <t>WOOD-0021</t>
  </si>
  <si>
    <t>WOOD-0022</t>
  </si>
  <si>
    <t>WOOD-0023</t>
  </si>
  <si>
    <t>WOOD-0024</t>
  </si>
  <si>
    <t>WOOD-0025</t>
  </si>
  <si>
    <t>WOOD-0026</t>
  </si>
  <si>
    <t>WOOD-0027</t>
  </si>
  <si>
    <t>WOOD-0028</t>
  </si>
  <si>
    <t>WOOD-0029</t>
  </si>
  <si>
    <t>WOOD-0030</t>
  </si>
  <si>
    <t>WOOD-0031</t>
  </si>
  <si>
    <t>WOOD-0032</t>
  </si>
  <si>
    <t>WOOD-0033</t>
  </si>
  <si>
    <t>WOOD-0034</t>
  </si>
  <si>
    <t>WOOD-0035</t>
  </si>
  <si>
    <t>WOOD-0036</t>
  </si>
  <si>
    <t>WOOD-0037</t>
  </si>
  <si>
    <t>WOOD-0038</t>
  </si>
  <si>
    <t>WOOD-0039</t>
  </si>
  <si>
    <t>WOOD-0040</t>
  </si>
  <si>
    <t>WOOD-0041</t>
  </si>
  <si>
    <t>WOOD-0042</t>
  </si>
  <si>
    <t>WOOD-0043</t>
  </si>
  <si>
    <t>WOOD-0044</t>
  </si>
  <si>
    <t>WOOD-0045</t>
  </si>
  <si>
    <t>WOOD-0046</t>
  </si>
  <si>
    <t>WOOD-0047</t>
  </si>
  <si>
    <t>WOOD-0048</t>
  </si>
  <si>
    <t>WOOD-0049</t>
  </si>
  <si>
    <t>WOOD-0050</t>
  </si>
  <si>
    <t>WOOD-0051</t>
  </si>
  <si>
    <t>WOOD-0052</t>
  </si>
  <si>
    <t>WOOD-0053</t>
  </si>
  <si>
    <t>WOOD-0054</t>
  </si>
  <si>
    <t>WOOD-0055</t>
  </si>
  <si>
    <t>WOOD-0056</t>
  </si>
  <si>
    <t>WOOD-0057</t>
  </si>
  <si>
    <t>WOOD-0058</t>
  </si>
  <si>
    <t>WOOD-0059</t>
  </si>
  <si>
    <t>WOOD-0060</t>
  </si>
  <si>
    <t>WOOD-0061</t>
  </si>
  <si>
    <t>WOOD-0062</t>
  </si>
  <si>
    <t>WOOD-0063</t>
  </si>
  <si>
    <t>WOOD-0064</t>
  </si>
  <si>
    <t>WOOD-0065</t>
  </si>
  <si>
    <t>WOOD-0066</t>
  </si>
  <si>
    <t>WOOD-0067</t>
  </si>
  <si>
    <t>WOOD-0068</t>
  </si>
  <si>
    <t>WOOD-0069</t>
  </si>
  <si>
    <t>WOOD-0070</t>
  </si>
  <si>
    <t>WOOD-0071</t>
  </si>
  <si>
    <t>WOOD-0072</t>
  </si>
  <si>
    <t>WOOD-0073</t>
  </si>
  <si>
    <t>WOOD-0074</t>
  </si>
  <si>
    <t>WOOD-0075</t>
  </si>
  <si>
    <t>WOOD-0076</t>
  </si>
  <si>
    <t>WOOD-0077</t>
  </si>
  <si>
    <t>WOOD-0078</t>
  </si>
  <si>
    <t>WOOD-0079</t>
  </si>
  <si>
    <t>WOOD-0080</t>
  </si>
  <si>
    <t>WOOD-0081</t>
  </si>
  <si>
    <t>WOOD-0082</t>
  </si>
  <si>
    <t>WOOD-0083</t>
  </si>
  <si>
    <t>WOOD-0084</t>
  </si>
  <si>
    <t>WOOD-0085</t>
  </si>
  <si>
    <t>WOOD-0086</t>
  </si>
  <si>
    <t>WOOD-0087</t>
  </si>
  <si>
    <t>WOOD-0088</t>
  </si>
  <si>
    <t>WOOD-0089</t>
  </si>
  <si>
    <t>WOOD-0090</t>
  </si>
  <si>
    <t>WOOD-0091</t>
  </si>
  <si>
    <t>WOOD-0092</t>
  </si>
  <si>
    <t>WOOD-0093</t>
  </si>
  <si>
    <t>WOOD-0094</t>
  </si>
  <si>
    <t>WOOD-0095</t>
  </si>
  <si>
    <t>WOOD-0096</t>
  </si>
  <si>
    <t>WOOD-0097</t>
  </si>
  <si>
    <t>WOOD-0098</t>
  </si>
  <si>
    <t>WOOD-0099</t>
  </si>
  <si>
    <t>WOOD-0100</t>
  </si>
  <si>
    <t>WOOD-0101</t>
  </si>
  <si>
    <t>WOOD-0102</t>
  </si>
  <si>
    <t>WOOD-0103</t>
  </si>
  <si>
    <t>WOOD-0104</t>
  </si>
  <si>
    <t>WOOD-0105</t>
  </si>
  <si>
    <t>WOOD-0106</t>
  </si>
  <si>
    <t>WOOD-0107</t>
  </si>
  <si>
    <t>WOOD-0108</t>
  </si>
  <si>
    <t>WOOD-0109</t>
  </si>
  <si>
    <t>WOOD-0110</t>
  </si>
  <si>
    <t>WOOD-0111</t>
  </si>
  <si>
    <t>WOOD-0112</t>
  </si>
  <si>
    <t>WOOD-0113</t>
  </si>
  <si>
    <t>WOOD-0114</t>
  </si>
  <si>
    <t>WOOD-0115</t>
  </si>
  <si>
    <t>WOOD-0116</t>
  </si>
  <si>
    <t>WOOD-0117</t>
  </si>
  <si>
    <t>WOOD-0118</t>
  </si>
  <si>
    <t>WOOD-0119</t>
  </si>
  <si>
    <t>WOOD-0120</t>
  </si>
  <si>
    <t>WOOD-0121</t>
  </si>
  <si>
    <t>WOOD-0122</t>
  </si>
  <si>
    <t>WOOD-0123</t>
  </si>
  <si>
    <t>WOOD-0124</t>
  </si>
  <si>
    <t>WOOD-0125</t>
  </si>
  <si>
    <t>Supply Risk Summary</t>
  </si>
  <si>
    <t>Count</t>
  </si>
  <si>
    <t>AvailableBoardFeet</t>
  </si>
  <si>
    <t>Agent Grounding Notes</t>
  </si>
  <si>
    <t>Use this workbook as synthetic grounding for a Teams chat agent that answers availability, substitution, and build-planning questions. All values are fictional and Public.</t>
  </si>
  <si>
    <t>Example question</t>
  </si>
  <si>
    <t>Which soundboard woods have low risk and enough availability for a 120-unit production run?</t>
  </si>
  <si>
    <t>Expected behavior</t>
  </si>
  <si>
    <t>Answer from Inventory, cite material IDs, and ask for product line if the requirement is ambiguous.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</si>
</sst>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Board Feet by Risk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RiskSummary!$C$5</c:f>
              <c:strCache>
                <c:ptCount val="1"/>
                <c:pt idx="0">
                  <c:v>AvailableBoardFeet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RiskSummary!$A$6:$A$8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RiskSummary!$C$6:$C$8</c:f>
              <c:numCache>
                <c:formatCode>General</c:formatCode>
                <c:ptCount val="3"/>
                <c:pt idx="0">
                  <c:v>50138</c:v>
                </c:pt>
                <c:pt idx="1">
                  <c:v>49973</c:v>
                </c:pt>
                <c:pt idx="2">
                  <c:v>41451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C-4AB4-A944-665198CD1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1" width="18" customWidth="1"/>
  </cols>
  <sheetData>
    <row r="1" spans="1:11" ht="20.25" x14ac:dyDescent="0.3">
      <c r="A1" s="5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s="1" t="s">
        <v>1</v>
      </c>
    </row>
    <row r="3" spans="1:11" x14ac:dyDescent="0.25">
      <c r="A3" s="3" t="s">
        <v>2</v>
      </c>
      <c r="B3" s="4"/>
      <c r="C3" s="4"/>
      <c r="D3" s="4"/>
      <c r="E3" s="4"/>
      <c r="F3" s="4"/>
      <c r="G3" s="4"/>
      <c r="H3" s="4"/>
    </row>
    <row r="5" spans="1:1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721</v>
      </c>
      <c r="G6">
        <v>95</v>
      </c>
      <c r="H6" t="s">
        <v>19</v>
      </c>
      <c r="I6">
        <v>72.069999999999993</v>
      </c>
      <c r="J6" t="s">
        <v>20</v>
      </c>
      <c r="K6" t="s">
        <v>21</v>
      </c>
    </row>
    <row r="7" spans="1:11" x14ac:dyDescent="0.25">
      <c r="A7" t="s">
        <v>22</v>
      </c>
      <c r="B7" t="s">
        <v>23</v>
      </c>
      <c r="C7" t="s">
        <v>16</v>
      </c>
      <c r="D7" t="s">
        <v>24</v>
      </c>
      <c r="E7" t="s">
        <v>25</v>
      </c>
      <c r="F7">
        <v>1369</v>
      </c>
      <c r="G7">
        <v>87</v>
      </c>
      <c r="H7" t="s">
        <v>19</v>
      </c>
      <c r="I7">
        <v>13.26</v>
      </c>
      <c r="J7" t="s">
        <v>26</v>
      </c>
      <c r="K7" t="s">
        <v>21</v>
      </c>
    </row>
    <row r="8" spans="1:11" x14ac:dyDescent="0.25">
      <c r="A8" t="s">
        <v>27</v>
      </c>
      <c r="B8" t="s">
        <v>28</v>
      </c>
      <c r="C8" t="s">
        <v>29</v>
      </c>
      <c r="D8" t="s">
        <v>24</v>
      </c>
      <c r="E8" t="s">
        <v>25</v>
      </c>
      <c r="F8">
        <v>1849</v>
      </c>
      <c r="G8">
        <v>84</v>
      </c>
      <c r="H8" t="s">
        <v>19</v>
      </c>
      <c r="I8">
        <v>10.210000000000001</v>
      </c>
      <c r="J8" t="s">
        <v>30</v>
      </c>
      <c r="K8" t="s">
        <v>31</v>
      </c>
    </row>
    <row r="9" spans="1:11" x14ac:dyDescent="0.25">
      <c r="A9" t="s">
        <v>32</v>
      </c>
      <c r="B9" t="s">
        <v>33</v>
      </c>
      <c r="C9" t="s">
        <v>34</v>
      </c>
      <c r="D9" t="s">
        <v>17</v>
      </c>
      <c r="E9" t="s">
        <v>18</v>
      </c>
      <c r="F9">
        <v>1867</v>
      </c>
      <c r="G9">
        <v>58</v>
      </c>
      <c r="H9" t="s">
        <v>19</v>
      </c>
      <c r="I9">
        <v>36.01</v>
      </c>
      <c r="J9" t="s">
        <v>20</v>
      </c>
      <c r="K9" t="s">
        <v>21</v>
      </c>
    </row>
    <row r="10" spans="1:11" x14ac:dyDescent="0.25">
      <c r="A10" t="s">
        <v>35</v>
      </c>
      <c r="B10" t="s">
        <v>28</v>
      </c>
      <c r="C10" t="s">
        <v>29</v>
      </c>
      <c r="D10" t="s">
        <v>36</v>
      </c>
      <c r="E10" t="s">
        <v>37</v>
      </c>
      <c r="F10">
        <v>148</v>
      </c>
      <c r="G10">
        <v>73</v>
      </c>
      <c r="H10" t="s">
        <v>38</v>
      </c>
      <c r="I10">
        <v>55.3</v>
      </c>
      <c r="J10" t="s">
        <v>30</v>
      </c>
      <c r="K10" t="s">
        <v>39</v>
      </c>
    </row>
    <row r="11" spans="1:11" x14ac:dyDescent="0.25">
      <c r="A11" t="s">
        <v>40</v>
      </c>
      <c r="B11" t="s">
        <v>41</v>
      </c>
      <c r="C11" t="s">
        <v>29</v>
      </c>
      <c r="D11" t="s">
        <v>36</v>
      </c>
      <c r="E11" t="s">
        <v>42</v>
      </c>
      <c r="F11">
        <v>320</v>
      </c>
      <c r="G11">
        <v>61</v>
      </c>
      <c r="H11" t="s">
        <v>43</v>
      </c>
      <c r="I11">
        <v>88.85</v>
      </c>
      <c r="J11" t="s">
        <v>26</v>
      </c>
      <c r="K11" t="s">
        <v>21</v>
      </c>
    </row>
    <row r="12" spans="1:11" x14ac:dyDescent="0.25">
      <c r="A12" t="s">
        <v>44</v>
      </c>
      <c r="B12" t="s">
        <v>45</v>
      </c>
      <c r="C12" t="s">
        <v>46</v>
      </c>
      <c r="D12" t="s">
        <v>17</v>
      </c>
      <c r="E12" t="s">
        <v>25</v>
      </c>
      <c r="F12">
        <v>2122</v>
      </c>
      <c r="G12">
        <v>36</v>
      </c>
      <c r="H12" t="s">
        <v>38</v>
      </c>
      <c r="I12">
        <v>76.44</v>
      </c>
      <c r="J12" t="s">
        <v>26</v>
      </c>
      <c r="K12" t="s">
        <v>47</v>
      </c>
    </row>
    <row r="13" spans="1:11" x14ac:dyDescent="0.25">
      <c r="A13" t="s">
        <v>48</v>
      </c>
      <c r="B13" t="s">
        <v>33</v>
      </c>
      <c r="C13" t="s">
        <v>34</v>
      </c>
      <c r="D13" t="s">
        <v>17</v>
      </c>
      <c r="E13" t="s">
        <v>49</v>
      </c>
      <c r="F13">
        <v>1911</v>
      </c>
      <c r="G13">
        <v>50</v>
      </c>
      <c r="H13" t="s">
        <v>50</v>
      </c>
      <c r="I13">
        <v>68.930000000000007</v>
      </c>
      <c r="J13" t="s">
        <v>26</v>
      </c>
      <c r="K13" t="s">
        <v>21</v>
      </c>
    </row>
    <row r="14" spans="1:11" x14ac:dyDescent="0.25">
      <c r="A14" t="s">
        <v>51</v>
      </c>
      <c r="B14" t="s">
        <v>52</v>
      </c>
      <c r="C14" t="s">
        <v>29</v>
      </c>
      <c r="D14" t="s">
        <v>24</v>
      </c>
      <c r="E14" t="s">
        <v>25</v>
      </c>
      <c r="F14">
        <v>1498</v>
      </c>
      <c r="G14">
        <v>117</v>
      </c>
      <c r="H14" t="s">
        <v>43</v>
      </c>
      <c r="I14">
        <v>75.63</v>
      </c>
      <c r="J14" t="s">
        <v>26</v>
      </c>
      <c r="K14" t="s">
        <v>39</v>
      </c>
    </row>
    <row r="15" spans="1:11" x14ac:dyDescent="0.25">
      <c r="A15" t="s">
        <v>53</v>
      </c>
      <c r="B15" t="s">
        <v>52</v>
      </c>
      <c r="C15" t="s">
        <v>29</v>
      </c>
      <c r="D15" t="s">
        <v>17</v>
      </c>
      <c r="E15" t="s">
        <v>25</v>
      </c>
      <c r="F15">
        <v>758</v>
      </c>
      <c r="G15">
        <v>69</v>
      </c>
      <c r="H15" t="s">
        <v>50</v>
      </c>
      <c r="I15">
        <v>37.94</v>
      </c>
      <c r="J15" t="s">
        <v>30</v>
      </c>
      <c r="K15" t="s">
        <v>21</v>
      </c>
    </row>
    <row r="16" spans="1:11" x14ac:dyDescent="0.25">
      <c r="A16" t="s">
        <v>54</v>
      </c>
      <c r="B16" t="s">
        <v>28</v>
      </c>
      <c r="C16" t="s">
        <v>29</v>
      </c>
      <c r="D16" t="s">
        <v>24</v>
      </c>
      <c r="E16" t="s">
        <v>18</v>
      </c>
      <c r="F16">
        <v>1732</v>
      </c>
      <c r="G16">
        <v>94</v>
      </c>
      <c r="H16" t="s">
        <v>19</v>
      </c>
      <c r="I16">
        <v>65.11</v>
      </c>
      <c r="J16" t="s">
        <v>30</v>
      </c>
      <c r="K16" t="s">
        <v>21</v>
      </c>
    </row>
    <row r="17" spans="1:11" x14ac:dyDescent="0.25">
      <c r="A17" t="s">
        <v>55</v>
      </c>
      <c r="B17" t="s">
        <v>56</v>
      </c>
      <c r="C17" t="s">
        <v>57</v>
      </c>
      <c r="D17" t="s">
        <v>17</v>
      </c>
      <c r="E17" t="s">
        <v>49</v>
      </c>
      <c r="F17">
        <v>1195</v>
      </c>
      <c r="G17">
        <v>86</v>
      </c>
      <c r="H17" t="s">
        <v>19</v>
      </c>
      <c r="I17">
        <v>91.27</v>
      </c>
      <c r="J17" t="s">
        <v>26</v>
      </c>
      <c r="K17" t="s">
        <v>21</v>
      </c>
    </row>
    <row r="18" spans="1:11" x14ac:dyDescent="0.25">
      <c r="A18" t="s">
        <v>58</v>
      </c>
      <c r="B18" t="s">
        <v>59</v>
      </c>
      <c r="C18" t="s">
        <v>29</v>
      </c>
      <c r="D18" t="s">
        <v>60</v>
      </c>
      <c r="E18" t="s">
        <v>37</v>
      </c>
      <c r="F18">
        <v>2026</v>
      </c>
      <c r="G18">
        <v>60</v>
      </c>
      <c r="H18" t="s">
        <v>19</v>
      </c>
      <c r="I18">
        <v>83.24</v>
      </c>
      <c r="J18" t="s">
        <v>26</v>
      </c>
      <c r="K18" t="s">
        <v>47</v>
      </c>
    </row>
    <row r="19" spans="1:11" x14ac:dyDescent="0.25">
      <c r="A19" t="s">
        <v>61</v>
      </c>
      <c r="B19" t="s">
        <v>56</v>
      </c>
      <c r="C19" t="s">
        <v>57</v>
      </c>
      <c r="D19" t="s">
        <v>17</v>
      </c>
      <c r="E19" t="s">
        <v>49</v>
      </c>
      <c r="F19">
        <v>729</v>
      </c>
      <c r="G19">
        <v>48</v>
      </c>
      <c r="H19" t="s">
        <v>38</v>
      </c>
      <c r="I19">
        <v>44.52</v>
      </c>
      <c r="J19" t="s">
        <v>20</v>
      </c>
      <c r="K19" t="s">
        <v>47</v>
      </c>
    </row>
    <row r="20" spans="1:11" x14ac:dyDescent="0.25">
      <c r="A20" t="s">
        <v>62</v>
      </c>
      <c r="B20" t="s">
        <v>23</v>
      </c>
      <c r="C20" t="s">
        <v>16</v>
      </c>
      <c r="D20" t="s">
        <v>17</v>
      </c>
      <c r="E20" t="s">
        <v>18</v>
      </c>
      <c r="F20">
        <v>2163</v>
      </c>
      <c r="G20">
        <v>76</v>
      </c>
      <c r="H20" t="s">
        <v>43</v>
      </c>
      <c r="I20">
        <v>83.41</v>
      </c>
      <c r="J20" t="s">
        <v>26</v>
      </c>
      <c r="K20" t="s">
        <v>21</v>
      </c>
    </row>
    <row r="21" spans="1:11" x14ac:dyDescent="0.25">
      <c r="A21" t="s">
        <v>63</v>
      </c>
      <c r="B21" t="s">
        <v>52</v>
      </c>
      <c r="C21" t="s">
        <v>29</v>
      </c>
      <c r="D21" t="s">
        <v>60</v>
      </c>
      <c r="E21" t="s">
        <v>37</v>
      </c>
      <c r="F21">
        <v>1202</v>
      </c>
      <c r="G21">
        <v>104</v>
      </c>
      <c r="H21" t="s">
        <v>19</v>
      </c>
      <c r="I21">
        <v>52.65</v>
      </c>
      <c r="J21" t="s">
        <v>20</v>
      </c>
      <c r="K21" t="s">
        <v>31</v>
      </c>
    </row>
    <row r="22" spans="1:11" x14ac:dyDescent="0.25">
      <c r="A22" t="s">
        <v>64</v>
      </c>
      <c r="B22" t="s">
        <v>59</v>
      </c>
      <c r="C22" t="s">
        <v>29</v>
      </c>
      <c r="D22" t="s">
        <v>17</v>
      </c>
      <c r="E22" t="s">
        <v>18</v>
      </c>
      <c r="F22">
        <v>99</v>
      </c>
      <c r="G22">
        <v>109</v>
      </c>
      <c r="H22" t="s">
        <v>50</v>
      </c>
      <c r="I22">
        <v>88.35</v>
      </c>
      <c r="J22" t="s">
        <v>30</v>
      </c>
      <c r="K22" t="s">
        <v>39</v>
      </c>
    </row>
    <row r="23" spans="1:11" x14ac:dyDescent="0.25">
      <c r="A23" t="s">
        <v>65</v>
      </c>
      <c r="B23" t="s">
        <v>56</v>
      </c>
      <c r="C23" t="s">
        <v>57</v>
      </c>
      <c r="D23" t="s">
        <v>17</v>
      </c>
      <c r="E23" t="s">
        <v>25</v>
      </c>
      <c r="F23">
        <v>1172</v>
      </c>
      <c r="G23">
        <v>92</v>
      </c>
      <c r="H23" t="s">
        <v>19</v>
      </c>
      <c r="I23">
        <v>63.89</v>
      </c>
      <c r="J23" t="s">
        <v>30</v>
      </c>
      <c r="K23" t="s">
        <v>21</v>
      </c>
    </row>
    <row r="24" spans="1:11" x14ac:dyDescent="0.25">
      <c r="A24" t="s">
        <v>66</v>
      </c>
      <c r="B24" t="s">
        <v>45</v>
      </c>
      <c r="C24" t="s">
        <v>46</v>
      </c>
      <c r="D24" t="s">
        <v>24</v>
      </c>
      <c r="E24" t="s">
        <v>18</v>
      </c>
      <c r="F24">
        <v>1710</v>
      </c>
      <c r="G24">
        <v>75</v>
      </c>
      <c r="H24" t="s">
        <v>43</v>
      </c>
      <c r="I24">
        <v>53.37</v>
      </c>
      <c r="J24" t="s">
        <v>26</v>
      </c>
      <c r="K24" t="s">
        <v>21</v>
      </c>
    </row>
    <row r="25" spans="1:11" x14ac:dyDescent="0.25">
      <c r="A25" t="s">
        <v>67</v>
      </c>
      <c r="B25" t="s">
        <v>52</v>
      </c>
      <c r="C25" t="s">
        <v>29</v>
      </c>
      <c r="D25" t="s">
        <v>17</v>
      </c>
      <c r="E25" t="s">
        <v>42</v>
      </c>
      <c r="F25">
        <v>1163</v>
      </c>
      <c r="G25">
        <v>37</v>
      </c>
      <c r="H25" t="s">
        <v>50</v>
      </c>
      <c r="I25">
        <v>74.53</v>
      </c>
      <c r="J25" t="s">
        <v>20</v>
      </c>
      <c r="K25" t="s">
        <v>21</v>
      </c>
    </row>
    <row r="26" spans="1:11" x14ac:dyDescent="0.25">
      <c r="A26" t="s">
        <v>68</v>
      </c>
      <c r="B26" t="s">
        <v>52</v>
      </c>
      <c r="C26" t="s">
        <v>29</v>
      </c>
      <c r="D26" t="s">
        <v>60</v>
      </c>
      <c r="E26" t="s">
        <v>18</v>
      </c>
      <c r="F26">
        <v>265</v>
      </c>
      <c r="G26">
        <v>94</v>
      </c>
      <c r="H26" t="s">
        <v>19</v>
      </c>
      <c r="I26">
        <v>36.96</v>
      </c>
      <c r="J26" t="s">
        <v>20</v>
      </c>
      <c r="K26" t="s">
        <v>31</v>
      </c>
    </row>
    <row r="27" spans="1:11" x14ac:dyDescent="0.25">
      <c r="A27" t="s">
        <v>69</v>
      </c>
      <c r="B27" t="s">
        <v>15</v>
      </c>
      <c r="C27" t="s">
        <v>16</v>
      </c>
      <c r="D27" t="s">
        <v>24</v>
      </c>
      <c r="E27" t="s">
        <v>25</v>
      </c>
      <c r="F27">
        <v>244</v>
      </c>
      <c r="G27">
        <v>80</v>
      </c>
      <c r="H27" t="s">
        <v>43</v>
      </c>
      <c r="I27">
        <v>89.17</v>
      </c>
      <c r="J27" t="s">
        <v>26</v>
      </c>
      <c r="K27" t="s">
        <v>47</v>
      </c>
    </row>
    <row r="28" spans="1:11" x14ac:dyDescent="0.25">
      <c r="A28" t="s">
        <v>70</v>
      </c>
      <c r="B28" t="s">
        <v>45</v>
      </c>
      <c r="C28" t="s">
        <v>46</v>
      </c>
      <c r="D28" t="s">
        <v>24</v>
      </c>
      <c r="E28" t="s">
        <v>25</v>
      </c>
      <c r="F28">
        <v>1699</v>
      </c>
      <c r="G28">
        <v>72</v>
      </c>
      <c r="H28" t="s">
        <v>43</v>
      </c>
      <c r="I28">
        <v>12.1</v>
      </c>
      <c r="J28" t="s">
        <v>30</v>
      </c>
      <c r="K28" t="s">
        <v>21</v>
      </c>
    </row>
    <row r="29" spans="1:11" x14ac:dyDescent="0.25">
      <c r="A29" t="s">
        <v>71</v>
      </c>
      <c r="B29" t="s">
        <v>59</v>
      </c>
      <c r="C29" t="s">
        <v>29</v>
      </c>
      <c r="D29" t="s">
        <v>60</v>
      </c>
      <c r="E29" t="s">
        <v>18</v>
      </c>
      <c r="F29">
        <v>789</v>
      </c>
      <c r="G29">
        <v>41</v>
      </c>
      <c r="H29" t="s">
        <v>19</v>
      </c>
      <c r="I29">
        <v>28.91</v>
      </c>
      <c r="J29" t="s">
        <v>26</v>
      </c>
      <c r="K29" t="s">
        <v>31</v>
      </c>
    </row>
    <row r="30" spans="1:11" x14ac:dyDescent="0.25">
      <c r="A30" t="s">
        <v>72</v>
      </c>
      <c r="B30" t="s">
        <v>59</v>
      </c>
      <c r="C30" t="s">
        <v>29</v>
      </c>
      <c r="D30" t="s">
        <v>36</v>
      </c>
      <c r="E30" t="s">
        <v>37</v>
      </c>
      <c r="F30">
        <v>801</v>
      </c>
      <c r="G30">
        <v>32</v>
      </c>
      <c r="H30" t="s">
        <v>38</v>
      </c>
      <c r="I30">
        <v>89.94</v>
      </c>
      <c r="J30" t="s">
        <v>30</v>
      </c>
      <c r="K30" t="s">
        <v>31</v>
      </c>
    </row>
    <row r="31" spans="1:11" x14ac:dyDescent="0.25">
      <c r="A31" t="s">
        <v>73</v>
      </c>
      <c r="B31" t="s">
        <v>41</v>
      </c>
      <c r="C31" t="s">
        <v>29</v>
      </c>
      <c r="D31" t="s">
        <v>17</v>
      </c>
      <c r="E31" t="s">
        <v>18</v>
      </c>
      <c r="F31">
        <v>2022</v>
      </c>
      <c r="G31">
        <v>32</v>
      </c>
      <c r="H31" t="s">
        <v>43</v>
      </c>
      <c r="I31">
        <v>27.48</v>
      </c>
      <c r="J31" t="s">
        <v>20</v>
      </c>
      <c r="K31" t="s">
        <v>39</v>
      </c>
    </row>
    <row r="32" spans="1:11" x14ac:dyDescent="0.25">
      <c r="A32" t="s">
        <v>74</v>
      </c>
      <c r="B32" t="s">
        <v>56</v>
      </c>
      <c r="C32" t="s">
        <v>57</v>
      </c>
      <c r="D32" t="s">
        <v>36</v>
      </c>
      <c r="E32" t="s">
        <v>49</v>
      </c>
      <c r="F32">
        <v>1091</v>
      </c>
      <c r="G32">
        <v>43</v>
      </c>
      <c r="H32" t="s">
        <v>43</v>
      </c>
      <c r="I32">
        <v>19.43</v>
      </c>
      <c r="J32" t="s">
        <v>30</v>
      </c>
      <c r="K32" t="s">
        <v>39</v>
      </c>
    </row>
    <row r="33" spans="1:11" x14ac:dyDescent="0.25">
      <c r="A33" t="s">
        <v>75</v>
      </c>
      <c r="B33" t="s">
        <v>23</v>
      </c>
      <c r="C33" t="s">
        <v>16</v>
      </c>
      <c r="D33" t="s">
        <v>24</v>
      </c>
      <c r="E33" t="s">
        <v>37</v>
      </c>
      <c r="F33">
        <v>1423</v>
      </c>
      <c r="G33">
        <v>73</v>
      </c>
      <c r="H33" t="s">
        <v>19</v>
      </c>
      <c r="I33">
        <v>71.83</v>
      </c>
      <c r="J33" t="s">
        <v>30</v>
      </c>
      <c r="K33" t="s">
        <v>31</v>
      </c>
    </row>
    <row r="34" spans="1:11" x14ac:dyDescent="0.25">
      <c r="A34" t="s">
        <v>76</v>
      </c>
      <c r="B34" t="s">
        <v>52</v>
      </c>
      <c r="C34" t="s">
        <v>29</v>
      </c>
      <c r="D34" t="s">
        <v>17</v>
      </c>
      <c r="E34" t="s">
        <v>25</v>
      </c>
      <c r="F34">
        <v>235</v>
      </c>
      <c r="G34">
        <v>69</v>
      </c>
      <c r="H34" t="s">
        <v>19</v>
      </c>
      <c r="I34">
        <v>29.25</v>
      </c>
      <c r="J34" t="s">
        <v>30</v>
      </c>
      <c r="K34" t="s">
        <v>39</v>
      </c>
    </row>
    <row r="35" spans="1:11" x14ac:dyDescent="0.25">
      <c r="A35" t="s">
        <v>77</v>
      </c>
      <c r="B35" t="s">
        <v>23</v>
      </c>
      <c r="C35" t="s">
        <v>16</v>
      </c>
      <c r="D35" t="s">
        <v>24</v>
      </c>
      <c r="E35" t="s">
        <v>37</v>
      </c>
      <c r="F35">
        <v>712</v>
      </c>
      <c r="G35">
        <v>119</v>
      </c>
      <c r="H35" t="s">
        <v>50</v>
      </c>
      <c r="I35">
        <v>44.06</v>
      </c>
      <c r="J35" t="s">
        <v>26</v>
      </c>
      <c r="K35" t="s">
        <v>21</v>
      </c>
    </row>
    <row r="36" spans="1:11" x14ac:dyDescent="0.25">
      <c r="A36" t="s">
        <v>78</v>
      </c>
      <c r="B36" t="s">
        <v>41</v>
      </c>
      <c r="C36" t="s">
        <v>29</v>
      </c>
      <c r="D36" t="s">
        <v>17</v>
      </c>
      <c r="E36" t="s">
        <v>25</v>
      </c>
      <c r="F36">
        <v>1624</v>
      </c>
      <c r="G36">
        <v>53</v>
      </c>
      <c r="H36" t="s">
        <v>43</v>
      </c>
      <c r="I36">
        <v>40.44</v>
      </c>
      <c r="J36" t="s">
        <v>30</v>
      </c>
      <c r="K36" t="s">
        <v>39</v>
      </c>
    </row>
    <row r="37" spans="1:11" x14ac:dyDescent="0.25">
      <c r="A37" t="s">
        <v>79</v>
      </c>
      <c r="B37" t="s">
        <v>56</v>
      </c>
      <c r="C37" t="s">
        <v>57</v>
      </c>
      <c r="D37" t="s">
        <v>60</v>
      </c>
      <c r="E37" t="s">
        <v>25</v>
      </c>
      <c r="F37">
        <v>410</v>
      </c>
      <c r="G37">
        <v>79</v>
      </c>
      <c r="H37" t="s">
        <v>38</v>
      </c>
      <c r="I37">
        <v>16.55</v>
      </c>
      <c r="J37" t="s">
        <v>20</v>
      </c>
      <c r="K37" t="s">
        <v>39</v>
      </c>
    </row>
    <row r="38" spans="1:11" x14ac:dyDescent="0.25">
      <c r="A38" t="s">
        <v>80</v>
      </c>
      <c r="B38" t="s">
        <v>23</v>
      </c>
      <c r="C38" t="s">
        <v>16</v>
      </c>
      <c r="D38" t="s">
        <v>24</v>
      </c>
      <c r="E38" t="s">
        <v>42</v>
      </c>
      <c r="F38">
        <v>547</v>
      </c>
      <c r="G38">
        <v>23</v>
      </c>
      <c r="H38" t="s">
        <v>38</v>
      </c>
      <c r="I38">
        <v>61.07</v>
      </c>
      <c r="J38" t="s">
        <v>20</v>
      </c>
      <c r="K38" t="s">
        <v>21</v>
      </c>
    </row>
    <row r="39" spans="1:11" x14ac:dyDescent="0.25">
      <c r="A39" t="s">
        <v>81</v>
      </c>
      <c r="B39" t="s">
        <v>45</v>
      </c>
      <c r="C39" t="s">
        <v>46</v>
      </c>
      <c r="D39" t="s">
        <v>17</v>
      </c>
      <c r="E39" t="s">
        <v>18</v>
      </c>
      <c r="F39">
        <v>353</v>
      </c>
      <c r="G39">
        <v>60</v>
      </c>
      <c r="H39" t="s">
        <v>19</v>
      </c>
      <c r="I39">
        <v>88.19</v>
      </c>
      <c r="J39" t="s">
        <v>30</v>
      </c>
      <c r="K39" t="s">
        <v>31</v>
      </c>
    </row>
    <row r="40" spans="1:11" x14ac:dyDescent="0.25">
      <c r="A40" t="s">
        <v>82</v>
      </c>
      <c r="B40" t="s">
        <v>41</v>
      </c>
      <c r="C40" t="s">
        <v>29</v>
      </c>
      <c r="D40" t="s">
        <v>60</v>
      </c>
      <c r="E40" t="s">
        <v>37</v>
      </c>
      <c r="F40">
        <v>290</v>
      </c>
      <c r="G40">
        <v>48</v>
      </c>
      <c r="H40" t="s">
        <v>19</v>
      </c>
      <c r="I40">
        <v>41.58</v>
      </c>
      <c r="J40" t="s">
        <v>30</v>
      </c>
      <c r="K40" t="s">
        <v>47</v>
      </c>
    </row>
    <row r="41" spans="1:11" x14ac:dyDescent="0.25">
      <c r="A41" t="s">
        <v>83</v>
      </c>
      <c r="B41" t="s">
        <v>45</v>
      </c>
      <c r="C41" t="s">
        <v>46</v>
      </c>
      <c r="D41" t="s">
        <v>24</v>
      </c>
      <c r="E41" t="s">
        <v>42</v>
      </c>
      <c r="F41">
        <v>314</v>
      </c>
      <c r="G41">
        <v>51</v>
      </c>
      <c r="H41" t="s">
        <v>19</v>
      </c>
      <c r="I41">
        <v>29.26</v>
      </c>
      <c r="J41" t="s">
        <v>20</v>
      </c>
      <c r="K41" t="s">
        <v>39</v>
      </c>
    </row>
    <row r="42" spans="1:11" x14ac:dyDescent="0.25">
      <c r="A42" t="s">
        <v>84</v>
      </c>
      <c r="B42" t="s">
        <v>15</v>
      </c>
      <c r="C42" t="s">
        <v>16</v>
      </c>
      <c r="D42" t="s">
        <v>24</v>
      </c>
      <c r="E42" t="s">
        <v>37</v>
      </c>
      <c r="F42">
        <v>1945</v>
      </c>
      <c r="G42">
        <v>108</v>
      </c>
      <c r="H42" t="s">
        <v>19</v>
      </c>
      <c r="I42">
        <v>73.11</v>
      </c>
      <c r="J42" t="s">
        <v>30</v>
      </c>
      <c r="K42" t="s">
        <v>31</v>
      </c>
    </row>
    <row r="43" spans="1:11" x14ac:dyDescent="0.25">
      <c r="A43" t="s">
        <v>85</v>
      </c>
      <c r="B43" t="s">
        <v>45</v>
      </c>
      <c r="C43" t="s">
        <v>46</v>
      </c>
      <c r="D43" t="s">
        <v>36</v>
      </c>
      <c r="E43" t="s">
        <v>42</v>
      </c>
      <c r="F43">
        <v>650</v>
      </c>
      <c r="G43">
        <v>115</v>
      </c>
      <c r="H43" t="s">
        <v>19</v>
      </c>
      <c r="I43">
        <v>74.489999999999995</v>
      </c>
      <c r="J43" t="s">
        <v>30</v>
      </c>
      <c r="K43" t="s">
        <v>47</v>
      </c>
    </row>
    <row r="44" spans="1:11" x14ac:dyDescent="0.25">
      <c r="A44" t="s">
        <v>86</v>
      </c>
      <c r="B44" t="s">
        <v>41</v>
      </c>
      <c r="C44" t="s">
        <v>29</v>
      </c>
      <c r="D44" t="s">
        <v>36</v>
      </c>
      <c r="E44" t="s">
        <v>18</v>
      </c>
      <c r="F44">
        <v>1858</v>
      </c>
      <c r="G44">
        <v>106</v>
      </c>
      <c r="H44" t="s">
        <v>19</v>
      </c>
      <c r="I44">
        <v>11.88</v>
      </c>
      <c r="J44" t="s">
        <v>30</v>
      </c>
      <c r="K44" t="s">
        <v>47</v>
      </c>
    </row>
    <row r="45" spans="1:11" x14ac:dyDescent="0.25">
      <c r="A45" t="s">
        <v>87</v>
      </c>
      <c r="B45" t="s">
        <v>33</v>
      </c>
      <c r="C45" t="s">
        <v>34</v>
      </c>
      <c r="D45" t="s">
        <v>36</v>
      </c>
      <c r="E45" t="s">
        <v>25</v>
      </c>
      <c r="F45">
        <v>1261</v>
      </c>
      <c r="G45">
        <v>88</v>
      </c>
      <c r="H45" t="s">
        <v>19</v>
      </c>
      <c r="I45">
        <v>73.59</v>
      </c>
      <c r="J45" t="s">
        <v>30</v>
      </c>
      <c r="K45" t="s">
        <v>47</v>
      </c>
    </row>
    <row r="46" spans="1:11" x14ac:dyDescent="0.25">
      <c r="A46" t="s">
        <v>88</v>
      </c>
      <c r="B46" t="s">
        <v>15</v>
      </c>
      <c r="C46" t="s">
        <v>16</v>
      </c>
      <c r="D46" t="s">
        <v>17</v>
      </c>
      <c r="E46" t="s">
        <v>49</v>
      </c>
      <c r="F46">
        <v>90</v>
      </c>
      <c r="G46">
        <v>66</v>
      </c>
      <c r="H46" t="s">
        <v>50</v>
      </c>
      <c r="I46">
        <v>81.819999999999993</v>
      </c>
      <c r="J46" t="s">
        <v>30</v>
      </c>
      <c r="K46" t="s">
        <v>31</v>
      </c>
    </row>
    <row r="47" spans="1:11" x14ac:dyDescent="0.25">
      <c r="A47" t="s">
        <v>89</v>
      </c>
      <c r="B47" t="s">
        <v>33</v>
      </c>
      <c r="C47" t="s">
        <v>34</v>
      </c>
      <c r="D47" t="s">
        <v>36</v>
      </c>
      <c r="E47" t="s">
        <v>49</v>
      </c>
      <c r="F47">
        <v>1657</v>
      </c>
      <c r="G47">
        <v>70</v>
      </c>
      <c r="H47" t="s">
        <v>19</v>
      </c>
      <c r="I47">
        <v>73.040000000000006</v>
      </c>
      <c r="J47" t="s">
        <v>30</v>
      </c>
      <c r="K47" t="s">
        <v>31</v>
      </c>
    </row>
    <row r="48" spans="1:11" x14ac:dyDescent="0.25">
      <c r="A48" t="s">
        <v>90</v>
      </c>
      <c r="B48" t="s">
        <v>41</v>
      </c>
      <c r="C48" t="s">
        <v>29</v>
      </c>
      <c r="D48" t="s">
        <v>60</v>
      </c>
      <c r="E48" t="s">
        <v>42</v>
      </c>
      <c r="F48">
        <v>231</v>
      </c>
      <c r="G48">
        <v>59</v>
      </c>
      <c r="H48" t="s">
        <v>43</v>
      </c>
      <c r="I48">
        <v>57.29</v>
      </c>
      <c r="J48" t="s">
        <v>26</v>
      </c>
      <c r="K48" t="s">
        <v>21</v>
      </c>
    </row>
    <row r="49" spans="1:11" x14ac:dyDescent="0.25">
      <c r="A49" t="s">
        <v>91</v>
      </c>
      <c r="B49" t="s">
        <v>41</v>
      </c>
      <c r="C49" t="s">
        <v>29</v>
      </c>
      <c r="D49" t="s">
        <v>24</v>
      </c>
      <c r="E49" t="s">
        <v>42</v>
      </c>
      <c r="F49">
        <v>1262</v>
      </c>
      <c r="G49">
        <v>91</v>
      </c>
      <c r="H49" t="s">
        <v>43</v>
      </c>
      <c r="I49">
        <v>70.39</v>
      </c>
      <c r="J49" t="s">
        <v>26</v>
      </c>
      <c r="K49" t="s">
        <v>39</v>
      </c>
    </row>
    <row r="50" spans="1:11" x14ac:dyDescent="0.25">
      <c r="A50" t="s">
        <v>92</v>
      </c>
      <c r="B50" t="s">
        <v>15</v>
      </c>
      <c r="C50" t="s">
        <v>16</v>
      </c>
      <c r="D50" t="s">
        <v>24</v>
      </c>
      <c r="E50" t="s">
        <v>18</v>
      </c>
      <c r="F50">
        <v>2145</v>
      </c>
      <c r="G50">
        <v>65</v>
      </c>
      <c r="H50" t="s">
        <v>38</v>
      </c>
      <c r="I50">
        <v>75.31</v>
      </c>
      <c r="J50" t="s">
        <v>20</v>
      </c>
      <c r="K50" t="s">
        <v>31</v>
      </c>
    </row>
    <row r="51" spans="1:11" x14ac:dyDescent="0.25">
      <c r="A51" t="s">
        <v>93</v>
      </c>
      <c r="B51" t="s">
        <v>52</v>
      </c>
      <c r="C51" t="s">
        <v>29</v>
      </c>
      <c r="D51" t="s">
        <v>24</v>
      </c>
      <c r="E51" t="s">
        <v>18</v>
      </c>
      <c r="F51">
        <v>2098</v>
      </c>
      <c r="G51">
        <v>47</v>
      </c>
      <c r="H51" t="s">
        <v>19</v>
      </c>
      <c r="I51">
        <v>8.9499999999999993</v>
      </c>
      <c r="J51" t="s">
        <v>20</v>
      </c>
      <c r="K51" t="s">
        <v>21</v>
      </c>
    </row>
    <row r="52" spans="1:11" x14ac:dyDescent="0.25">
      <c r="A52" t="s">
        <v>94</v>
      </c>
      <c r="B52" t="s">
        <v>28</v>
      </c>
      <c r="C52" t="s">
        <v>29</v>
      </c>
      <c r="D52" t="s">
        <v>24</v>
      </c>
      <c r="E52" t="s">
        <v>49</v>
      </c>
      <c r="F52">
        <v>1364</v>
      </c>
      <c r="G52">
        <v>90</v>
      </c>
      <c r="H52" t="s">
        <v>19</v>
      </c>
      <c r="I52">
        <v>65.930000000000007</v>
      </c>
      <c r="J52" t="s">
        <v>20</v>
      </c>
      <c r="K52" t="s">
        <v>21</v>
      </c>
    </row>
    <row r="53" spans="1:11" x14ac:dyDescent="0.25">
      <c r="A53" t="s">
        <v>95</v>
      </c>
      <c r="B53" t="s">
        <v>45</v>
      </c>
      <c r="C53" t="s">
        <v>46</v>
      </c>
      <c r="D53" t="s">
        <v>24</v>
      </c>
      <c r="E53" t="s">
        <v>42</v>
      </c>
      <c r="F53">
        <v>362</v>
      </c>
      <c r="G53">
        <v>18</v>
      </c>
      <c r="H53" t="s">
        <v>43</v>
      </c>
      <c r="I53">
        <v>87.17</v>
      </c>
      <c r="J53" t="s">
        <v>20</v>
      </c>
      <c r="K53" t="s">
        <v>21</v>
      </c>
    </row>
    <row r="54" spans="1:11" x14ac:dyDescent="0.25">
      <c r="A54" t="s">
        <v>96</v>
      </c>
      <c r="B54" t="s">
        <v>41</v>
      </c>
      <c r="C54" t="s">
        <v>29</v>
      </c>
      <c r="D54" t="s">
        <v>60</v>
      </c>
      <c r="E54" t="s">
        <v>18</v>
      </c>
      <c r="F54">
        <v>527</v>
      </c>
      <c r="G54">
        <v>15</v>
      </c>
      <c r="H54" t="s">
        <v>50</v>
      </c>
      <c r="I54">
        <v>66.25</v>
      </c>
      <c r="J54" t="s">
        <v>30</v>
      </c>
      <c r="K54" t="s">
        <v>21</v>
      </c>
    </row>
    <row r="55" spans="1:11" x14ac:dyDescent="0.25">
      <c r="A55" t="s">
        <v>97</v>
      </c>
      <c r="B55" t="s">
        <v>45</v>
      </c>
      <c r="C55" t="s">
        <v>46</v>
      </c>
      <c r="D55" t="s">
        <v>60</v>
      </c>
      <c r="E55" t="s">
        <v>37</v>
      </c>
      <c r="F55">
        <v>1120</v>
      </c>
      <c r="G55">
        <v>59</v>
      </c>
      <c r="H55" t="s">
        <v>50</v>
      </c>
      <c r="I55">
        <v>60.05</v>
      </c>
      <c r="J55" t="s">
        <v>20</v>
      </c>
      <c r="K55" t="s">
        <v>21</v>
      </c>
    </row>
    <row r="56" spans="1:11" x14ac:dyDescent="0.25">
      <c r="A56" t="s">
        <v>98</v>
      </c>
      <c r="B56" t="s">
        <v>23</v>
      </c>
      <c r="C56" t="s">
        <v>16</v>
      </c>
      <c r="D56" t="s">
        <v>60</v>
      </c>
      <c r="E56" t="s">
        <v>25</v>
      </c>
      <c r="F56">
        <v>147</v>
      </c>
      <c r="G56">
        <v>34</v>
      </c>
      <c r="H56" t="s">
        <v>19</v>
      </c>
      <c r="I56">
        <v>47.9</v>
      </c>
      <c r="J56" t="s">
        <v>30</v>
      </c>
      <c r="K56" t="s">
        <v>39</v>
      </c>
    </row>
    <row r="57" spans="1:11" x14ac:dyDescent="0.25">
      <c r="A57" t="s">
        <v>99</v>
      </c>
      <c r="B57" t="s">
        <v>56</v>
      </c>
      <c r="C57" t="s">
        <v>57</v>
      </c>
      <c r="D57" t="s">
        <v>36</v>
      </c>
      <c r="E57" t="s">
        <v>18</v>
      </c>
      <c r="F57">
        <v>975</v>
      </c>
      <c r="G57">
        <v>106</v>
      </c>
      <c r="H57" t="s">
        <v>43</v>
      </c>
      <c r="I57">
        <v>71.09</v>
      </c>
      <c r="J57" t="s">
        <v>20</v>
      </c>
      <c r="K57" t="s">
        <v>21</v>
      </c>
    </row>
    <row r="58" spans="1:11" x14ac:dyDescent="0.25">
      <c r="A58" t="s">
        <v>100</v>
      </c>
      <c r="B58" t="s">
        <v>33</v>
      </c>
      <c r="C58" t="s">
        <v>34</v>
      </c>
      <c r="D58" t="s">
        <v>24</v>
      </c>
      <c r="E58" t="s">
        <v>49</v>
      </c>
      <c r="F58">
        <v>672</v>
      </c>
      <c r="G58">
        <v>102</v>
      </c>
      <c r="H58" t="s">
        <v>38</v>
      </c>
      <c r="I58">
        <v>30.24</v>
      </c>
      <c r="J58" t="s">
        <v>30</v>
      </c>
      <c r="K58" t="s">
        <v>31</v>
      </c>
    </row>
    <row r="59" spans="1:11" x14ac:dyDescent="0.25">
      <c r="A59" t="s">
        <v>101</v>
      </c>
      <c r="B59" t="s">
        <v>28</v>
      </c>
      <c r="C59" t="s">
        <v>29</v>
      </c>
      <c r="D59" t="s">
        <v>36</v>
      </c>
      <c r="E59" t="s">
        <v>25</v>
      </c>
      <c r="F59">
        <v>1745</v>
      </c>
      <c r="G59">
        <v>59</v>
      </c>
      <c r="H59" t="s">
        <v>43</v>
      </c>
      <c r="I59">
        <v>71.94</v>
      </c>
      <c r="J59" t="s">
        <v>30</v>
      </c>
      <c r="K59" t="s">
        <v>47</v>
      </c>
    </row>
    <row r="60" spans="1:11" x14ac:dyDescent="0.25">
      <c r="A60" t="s">
        <v>102</v>
      </c>
      <c r="B60" t="s">
        <v>33</v>
      </c>
      <c r="C60" t="s">
        <v>34</v>
      </c>
      <c r="D60" t="s">
        <v>24</v>
      </c>
      <c r="E60" t="s">
        <v>18</v>
      </c>
      <c r="F60">
        <v>548</v>
      </c>
      <c r="G60">
        <v>81</v>
      </c>
      <c r="H60" t="s">
        <v>38</v>
      </c>
      <c r="I60">
        <v>77.040000000000006</v>
      </c>
      <c r="J60" t="s">
        <v>30</v>
      </c>
      <c r="K60" t="s">
        <v>21</v>
      </c>
    </row>
    <row r="61" spans="1:11" x14ac:dyDescent="0.25">
      <c r="A61" t="s">
        <v>103</v>
      </c>
      <c r="B61" t="s">
        <v>52</v>
      </c>
      <c r="C61" t="s">
        <v>29</v>
      </c>
      <c r="D61" t="s">
        <v>36</v>
      </c>
      <c r="E61" t="s">
        <v>25</v>
      </c>
      <c r="F61">
        <v>1055</v>
      </c>
      <c r="G61">
        <v>47</v>
      </c>
      <c r="H61" t="s">
        <v>38</v>
      </c>
      <c r="I61">
        <v>41.65</v>
      </c>
      <c r="J61" t="s">
        <v>30</v>
      </c>
      <c r="K61" t="s">
        <v>39</v>
      </c>
    </row>
    <row r="62" spans="1:11" x14ac:dyDescent="0.25">
      <c r="A62" t="s">
        <v>104</v>
      </c>
      <c r="B62" t="s">
        <v>59</v>
      </c>
      <c r="C62" t="s">
        <v>29</v>
      </c>
      <c r="D62" t="s">
        <v>36</v>
      </c>
      <c r="E62" t="s">
        <v>18</v>
      </c>
      <c r="F62">
        <v>910</v>
      </c>
      <c r="G62">
        <v>55</v>
      </c>
      <c r="H62" t="s">
        <v>19</v>
      </c>
      <c r="I62">
        <v>23.68</v>
      </c>
      <c r="J62" t="s">
        <v>26</v>
      </c>
      <c r="K62" t="s">
        <v>31</v>
      </c>
    </row>
    <row r="63" spans="1:11" x14ac:dyDescent="0.25">
      <c r="A63" t="s">
        <v>105</v>
      </c>
      <c r="B63" t="s">
        <v>41</v>
      </c>
      <c r="C63" t="s">
        <v>29</v>
      </c>
      <c r="D63" t="s">
        <v>60</v>
      </c>
      <c r="E63" t="s">
        <v>18</v>
      </c>
      <c r="F63">
        <v>959</v>
      </c>
      <c r="G63">
        <v>87</v>
      </c>
      <c r="H63" t="s">
        <v>43</v>
      </c>
      <c r="I63">
        <v>18.059999999999999</v>
      </c>
      <c r="J63" t="s">
        <v>20</v>
      </c>
      <c r="K63" t="s">
        <v>21</v>
      </c>
    </row>
    <row r="64" spans="1:11" x14ac:dyDescent="0.25">
      <c r="A64" t="s">
        <v>106</v>
      </c>
      <c r="B64" t="s">
        <v>52</v>
      </c>
      <c r="C64" t="s">
        <v>29</v>
      </c>
      <c r="D64" t="s">
        <v>24</v>
      </c>
      <c r="E64" t="s">
        <v>37</v>
      </c>
      <c r="F64">
        <v>1883</v>
      </c>
      <c r="G64">
        <v>88</v>
      </c>
      <c r="H64" t="s">
        <v>43</v>
      </c>
      <c r="I64">
        <v>67.739999999999995</v>
      </c>
      <c r="J64" t="s">
        <v>20</v>
      </c>
      <c r="K64" t="s">
        <v>31</v>
      </c>
    </row>
    <row r="65" spans="1:11" x14ac:dyDescent="0.25">
      <c r="A65" t="s">
        <v>107</v>
      </c>
      <c r="B65" t="s">
        <v>59</v>
      </c>
      <c r="C65" t="s">
        <v>29</v>
      </c>
      <c r="D65" t="s">
        <v>17</v>
      </c>
      <c r="E65" t="s">
        <v>37</v>
      </c>
      <c r="F65">
        <v>893</v>
      </c>
      <c r="G65">
        <v>40</v>
      </c>
      <c r="H65" t="s">
        <v>43</v>
      </c>
      <c r="I65">
        <v>91.57</v>
      </c>
      <c r="J65" t="s">
        <v>26</v>
      </c>
      <c r="K65" t="s">
        <v>21</v>
      </c>
    </row>
    <row r="66" spans="1:11" x14ac:dyDescent="0.25">
      <c r="A66" t="s">
        <v>108</v>
      </c>
      <c r="B66" t="s">
        <v>28</v>
      </c>
      <c r="C66" t="s">
        <v>29</v>
      </c>
      <c r="D66" t="s">
        <v>36</v>
      </c>
      <c r="E66" t="s">
        <v>25</v>
      </c>
      <c r="F66">
        <v>1028</v>
      </c>
      <c r="G66">
        <v>80</v>
      </c>
      <c r="H66" t="s">
        <v>50</v>
      </c>
      <c r="I66">
        <v>81.59</v>
      </c>
      <c r="J66" t="s">
        <v>30</v>
      </c>
      <c r="K66" t="s">
        <v>39</v>
      </c>
    </row>
    <row r="67" spans="1:11" x14ac:dyDescent="0.25">
      <c r="A67" t="s">
        <v>109</v>
      </c>
      <c r="B67" t="s">
        <v>52</v>
      </c>
      <c r="C67" t="s">
        <v>29</v>
      </c>
      <c r="D67" t="s">
        <v>36</v>
      </c>
      <c r="E67" t="s">
        <v>42</v>
      </c>
      <c r="F67">
        <v>422</v>
      </c>
      <c r="G67">
        <v>30</v>
      </c>
      <c r="H67" t="s">
        <v>38</v>
      </c>
      <c r="I67">
        <v>14.79</v>
      </c>
      <c r="J67" t="s">
        <v>20</v>
      </c>
      <c r="K67" t="s">
        <v>31</v>
      </c>
    </row>
    <row r="68" spans="1:11" x14ac:dyDescent="0.25">
      <c r="A68" t="s">
        <v>110</v>
      </c>
      <c r="B68" t="s">
        <v>33</v>
      </c>
      <c r="C68" t="s">
        <v>34</v>
      </c>
      <c r="D68" t="s">
        <v>17</v>
      </c>
      <c r="E68" t="s">
        <v>49</v>
      </c>
      <c r="F68">
        <v>1604</v>
      </c>
      <c r="G68">
        <v>46</v>
      </c>
      <c r="H68" t="s">
        <v>19</v>
      </c>
      <c r="I68">
        <v>57.46</v>
      </c>
      <c r="J68" t="s">
        <v>20</v>
      </c>
      <c r="K68" t="s">
        <v>31</v>
      </c>
    </row>
    <row r="69" spans="1:11" x14ac:dyDescent="0.25">
      <c r="A69" t="s">
        <v>111</v>
      </c>
      <c r="B69" t="s">
        <v>56</v>
      </c>
      <c r="C69" t="s">
        <v>57</v>
      </c>
      <c r="D69" t="s">
        <v>24</v>
      </c>
      <c r="E69" t="s">
        <v>42</v>
      </c>
      <c r="F69">
        <v>984</v>
      </c>
      <c r="G69">
        <v>110</v>
      </c>
      <c r="H69" t="s">
        <v>43</v>
      </c>
      <c r="I69">
        <v>18.57</v>
      </c>
      <c r="J69" t="s">
        <v>20</v>
      </c>
      <c r="K69" t="s">
        <v>39</v>
      </c>
    </row>
    <row r="70" spans="1:11" x14ac:dyDescent="0.25">
      <c r="A70" t="s">
        <v>112</v>
      </c>
      <c r="B70" t="s">
        <v>56</v>
      </c>
      <c r="C70" t="s">
        <v>57</v>
      </c>
      <c r="D70" t="s">
        <v>17</v>
      </c>
      <c r="E70" t="s">
        <v>37</v>
      </c>
      <c r="F70">
        <v>921</v>
      </c>
      <c r="G70">
        <v>19</v>
      </c>
      <c r="H70" t="s">
        <v>43</v>
      </c>
      <c r="I70">
        <v>90.53</v>
      </c>
      <c r="J70" t="s">
        <v>26</v>
      </c>
      <c r="K70" t="s">
        <v>31</v>
      </c>
    </row>
    <row r="71" spans="1:11" x14ac:dyDescent="0.25">
      <c r="A71" t="s">
        <v>113</v>
      </c>
      <c r="B71" t="s">
        <v>45</v>
      </c>
      <c r="C71" t="s">
        <v>46</v>
      </c>
      <c r="D71" t="s">
        <v>36</v>
      </c>
      <c r="E71" t="s">
        <v>42</v>
      </c>
      <c r="F71">
        <v>1320</v>
      </c>
      <c r="G71">
        <v>83</v>
      </c>
      <c r="H71" t="s">
        <v>19</v>
      </c>
      <c r="I71">
        <v>88.72</v>
      </c>
      <c r="J71" t="s">
        <v>30</v>
      </c>
      <c r="K71" t="s">
        <v>47</v>
      </c>
    </row>
    <row r="72" spans="1:11" x14ac:dyDescent="0.25">
      <c r="A72" t="s">
        <v>114</v>
      </c>
      <c r="B72" t="s">
        <v>59</v>
      </c>
      <c r="C72" t="s">
        <v>29</v>
      </c>
      <c r="D72" t="s">
        <v>24</v>
      </c>
      <c r="E72" t="s">
        <v>49</v>
      </c>
      <c r="F72">
        <v>430</v>
      </c>
      <c r="G72">
        <v>92</v>
      </c>
      <c r="H72" t="s">
        <v>19</v>
      </c>
      <c r="I72">
        <v>60.91</v>
      </c>
      <c r="J72" t="s">
        <v>20</v>
      </c>
      <c r="K72" t="s">
        <v>47</v>
      </c>
    </row>
    <row r="73" spans="1:11" x14ac:dyDescent="0.25">
      <c r="A73" t="s">
        <v>115</v>
      </c>
      <c r="B73" t="s">
        <v>33</v>
      </c>
      <c r="C73" t="s">
        <v>34</v>
      </c>
      <c r="D73" t="s">
        <v>24</v>
      </c>
      <c r="E73" t="s">
        <v>42</v>
      </c>
      <c r="F73">
        <v>834</v>
      </c>
      <c r="G73">
        <v>67</v>
      </c>
      <c r="H73" t="s">
        <v>19</v>
      </c>
      <c r="I73">
        <v>51.5</v>
      </c>
      <c r="J73" t="s">
        <v>26</v>
      </c>
      <c r="K73" t="s">
        <v>47</v>
      </c>
    </row>
    <row r="74" spans="1:11" x14ac:dyDescent="0.25">
      <c r="A74" t="s">
        <v>116</v>
      </c>
      <c r="B74" t="s">
        <v>33</v>
      </c>
      <c r="C74" t="s">
        <v>34</v>
      </c>
      <c r="D74" t="s">
        <v>60</v>
      </c>
      <c r="E74" t="s">
        <v>37</v>
      </c>
      <c r="F74">
        <v>2082</v>
      </c>
      <c r="G74">
        <v>111</v>
      </c>
      <c r="H74" t="s">
        <v>43</v>
      </c>
      <c r="I74">
        <v>54.03</v>
      </c>
      <c r="J74" t="s">
        <v>26</v>
      </c>
      <c r="K74" t="s">
        <v>47</v>
      </c>
    </row>
    <row r="75" spans="1:11" x14ac:dyDescent="0.25">
      <c r="A75" t="s">
        <v>117</v>
      </c>
      <c r="B75" t="s">
        <v>59</v>
      </c>
      <c r="C75" t="s">
        <v>29</v>
      </c>
      <c r="D75" t="s">
        <v>60</v>
      </c>
      <c r="E75" t="s">
        <v>49</v>
      </c>
      <c r="F75">
        <v>1514</v>
      </c>
      <c r="G75">
        <v>64</v>
      </c>
      <c r="H75" t="s">
        <v>19</v>
      </c>
      <c r="I75">
        <v>87</v>
      </c>
      <c r="J75" t="s">
        <v>30</v>
      </c>
      <c r="K75" t="s">
        <v>21</v>
      </c>
    </row>
    <row r="76" spans="1:11" x14ac:dyDescent="0.25">
      <c r="A76" t="s">
        <v>118</v>
      </c>
      <c r="B76" t="s">
        <v>28</v>
      </c>
      <c r="C76" t="s">
        <v>29</v>
      </c>
      <c r="D76" t="s">
        <v>24</v>
      </c>
      <c r="E76" t="s">
        <v>25</v>
      </c>
      <c r="F76">
        <v>327</v>
      </c>
      <c r="G76">
        <v>54</v>
      </c>
      <c r="H76" t="s">
        <v>50</v>
      </c>
      <c r="I76">
        <v>92.83</v>
      </c>
      <c r="J76" t="s">
        <v>26</v>
      </c>
      <c r="K76" t="s">
        <v>31</v>
      </c>
    </row>
    <row r="77" spans="1:11" x14ac:dyDescent="0.25">
      <c r="A77" t="s">
        <v>119</v>
      </c>
      <c r="B77" t="s">
        <v>41</v>
      </c>
      <c r="C77" t="s">
        <v>29</v>
      </c>
      <c r="D77" t="s">
        <v>60</v>
      </c>
      <c r="E77" t="s">
        <v>42</v>
      </c>
      <c r="F77">
        <v>1857</v>
      </c>
      <c r="G77">
        <v>33</v>
      </c>
      <c r="H77" t="s">
        <v>19</v>
      </c>
      <c r="I77">
        <v>46.85</v>
      </c>
      <c r="J77" t="s">
        <v>26</v>
      </c>
      <c r="K77" t="s">
        <v>21</v>
      </c>
    </row>
    <row r="78" spans="1:11" x14ac:dyDescent="0.25">
      <c r="A78" t="s">
        <v>120</v>
      </c>
      <c r="B78" t="s">
        <v>45</v>
      </c>
      <c r="C78" t="s">
        <v>46</v>
      </c>
      <c r="D78" t="s">
        <v>24</v>
      </c>
      <c r="E78" t="s">
        <v>49</v>
      </c>
      <c r="F78">
        <v>1612</v>
      </c>
      <c r="G78">
        <v>117</v>
      </c>
      <c r="H78" t="s">
        <v>50</v>
      </c>
      <c r="I78">
        <v>85.79</v>
      </c>
      <c r="J78" t="s">
        <v>20</v>
      </c>
      <c r="K78" t="s">
        <v>39</v>
      </c>
    </row>
    <row r="79" spans="1:11" x14ac:dyDescent="0.25">
      <c r="A79" t="s">
        <v>121</v>
      </c>
      <c r="B79" t="s">
        <v>52</v>
      </c>
      <c r="C79" t="s">
        <v>29</v>
      </c>
      <c r="D79" t="s">
        <v>60</v>
      </c>
      <c r="E79" t="s">
        <v>37</v>
      </c>
      <c r="F79">
        <v>828</v>
      </c>
      <c r="G79">
        <v>112</v>
      </c>
      <c r="H79" t="s">
        <v>38</v>
      </c>
      <c r="I79">
        <v>93.95</v>
      </c>
      <c r="J79" t="s">
        <v>26</v>
      </c>
      <c r="K79" t="s">
        <v>21</v>
      </c>
    </row>
    <row r="80" spans="1:11" x14ac:dyDescent="0.25">
      <c r="A80" t="s">
        <v>122</v>
      </c>
      <c r="B80" t="s">
        <v>15</v>
      </c>
      <c r="C80" t="s">
        <v>16</v>
      </c>
      <c r="D80" t="s">
        <v>17</v>
      </c>
      <c r="E80" t="s">
        <v>49</v>
      </c>
      <c r="F80">
        <v>727</v>
      </c>
      <c r="G80">
        <v>16</v>
      </c>
      <c r="H80" t="s">
        <v>43</v>
      </c>
      <c r="I80">
        <v>53.16</v>
      </c>
      <c r="J80" t="s">
        <v>20</v>
      </c>
      <c r="K80" t="s">
        <v>47</v>
      </c>
    </row>
    <row r="81" spans="1:11" x14ac:dyDescent="0.25">
      <c r="A81" t="s">
        <v>123</v>
      </c>
      <c r="B81" t="s">
        <v>23</v>
      </c>
      <c r="C81" t="s">
        <v>16</v>
      </c>
      <c r="D81" t="s">
        <v>24</v>
      </c>
      <c r="E81" t="s">
        <v>18</v>
      </c>
      <c r="F81">
        <v>852</v>
      </c>
      <c r="G81">
        <v>118</v>
      </c>
      <c r="H81" t="s">
        <v>19</v>
      </c>
      <c r="I81">
        <v>44.02</v>
      </c>
      <c r="J81" t="s">
        <v>20</v>
      </c>
      <c r="K81" t="s">
        <v>31</v>
      </c>
    </row>
    <row r="82" spans="1:11" x14ac:dyDescent="0.25">
      <c r="A82" t="s">
        <v>124</v>
      </c>
      <c r="B82" t="s">
        <v>41</v>
      </c>
      <c r="C82" t="s">
        <v>29</v>
      </c>
      <c r="D82" t="s">
        <v>36</v>
      </c>
      <c r="E82" t="s">
        <v>49</v>
      </c>
      <c r="F82">
        <v>2181</v>
      </c>
      <c r="G82">
        <v>57</v>
      </c>
      <c r="H82" t="s">
        <v>19</v>
      </c>
      <c r="I82">
        <v>9.84</v>
      </c>
      <c r="J82" t="s">
        <v>20</v>
      </c>
      <c r="K82" t="s">
        <v>47</v>
      </c>
    </row>
    <row r="83" spans="1:11" x14ac:dyDescent="0.25">
      <c r="A83" t="s">
        <v>125</v>
      </c>
      <c r="B83" t="s">
        <v>28</v>
      </c>
      <c r="C83" t="s">
        <v>29</v>
      </c>
      <c r="D83" t="s">
        <v>36</v>
      </c>
      <c r="E83" t="s">
        <v>18</v>
      </c>
      <c r="F83">
        <v>1765</v>
      </c>
      <c r="G83">
        <v>67</v>
      </c>
      <c r="H83" t="s">
        <v>19</v>
      </c>
      <c r="I83">
        <v>11.08</v>
      </c>
      <c r="J83" t="s">
        <v>26</v>
      </c>
      <c r="K83" t="s">
        <v>21</v>
      </c>
    </row>
    <row r="84" spans="1:11" x14ac:dyDescent="0.25">
      <c r="A84" t="s">
        <v>126</v>
      </c>
      <c r="B84" t="s">
        <v>33</v>
      </c>
      <c r="C84" t="s">
        <v>34</v>
      </c>
      <c r="D84" t="s">
        <v>36</v>
      </c>
      <c r="E84" t="s">
        <v>25</v>
      </c>
      <c r="F84">
        <v>1171</v>
      </c>
      <c r="G84">
        <v>28</v>
      </c>
      <c r="H84" t="s">
        <v>19</v>
      </c>
      <c r="I84">
        <v>80.87</v>
      </c>
      <c r="J84" t="s">
        <v>26</v>
      </c>
      <c r="K84" t="s">
        <v>21</v>
      </c>
    </row>
    <row r="85" spans="1:11" x14ac:dyDescent="0.25">
      <c r="A85" t="s">
        <v>127</v>
      </c>
      <c r="B85" t="s">
        <v>23</v>
      </c>
      <c r="C85" t="s">
        <v>16</v>
      </c>
      <c r="D85" t="s">
        <v>60</v>
      </c>
      <c r="E85" t="s">
        <v>37</v>
      </c>
      <c r="F85">
        <v>176</v>
      </c>
      <c r="G85">
        <v>69</v>
      </c>
      <c r="H85" t="s">
        <v>38</v>
      </c>
      <c r="I85">
        <v>79.87</v>
      </c>
      <c r="J85" t="s">
        <v>20</v>
      </c>
      <c r="K85" t="s">
        <v>39</v>
      </c>
    </row>
    <row r="86" spans="1:11" x14ac:dyDescent="0.25">
      <c r="A86" t="s">
        <v>128</v>
      </c>
      <c r="B86" t="s">
        <v>28</v>
      </c>
      <c r="C86" t="s">
        <v>29</v>
      </c>
      <c r="D86" t="s">
        <v>60</v>
      </c>
      <c r="E86" t="s">
        <v>25</v>
      </c>
      <c r="F86">
        <v>1224</v>
      </c>
      <c r="G86">
        <v>63</v>
      </c>
      <c r="H86" t="s">
        <v>19</v>
      </c>
      <c r="I86">
        <v>34.71</v>
      </c>
      <c r="J86" t="s">
        <v>30</v>
      </c>
      <c r="K86" t="s">
        <v>31</v>
      </c>
    </row>
    <row r="87" spans="1:11" x14ac:dyDescent="0.25">
      <c r="A87" t="s">
        <v>129</v>
      </c>
      <c r="B87" t="s">
        <v>45</v>
      </c>
      <c r="C87" t="s">
        <v>46</v>
      </c>
      <c r="D87" t="s">
        <v>17</v>
      </c>
      <c r="E87" t="s">
        <v>49</v>
      </c>
      <c r="F87">
        <v>144</v>
      </c>
      <c r="G87">
        <v>25</v>
      </c>
      <c r="H87" t="s">
        <v>43</v>
      </c>
      <c r="I87">
        <v>81.739999999999995</v>
      </c>
      <c r="J87" t="s">
        <v>30</v>
      </c>
      <c r="K87" t="s">
        <v>39</v>
      </c>
    </row>
    <row r="88" spans="1:11" x14ac:dyDescent="0.25">
      <c r="A88" t="s">
        <v>130</v>
      </c>
      <c r="B88" t="s">
        <v>52</v>
      </c>
      <c r="C88" t="s">
        <v>29</v>
      </c>
      <c r="D88" t="s">
        <v>60</v>
      </c>
      <c r="E88" t="s">
        <v>18</v>
      </c>
      <c r="F88">
        <v>1938</v>
      </c>
      <c r="G88">
        <v>28</v>
      </c>
      <c r="H88" t="s">
        <v>50</v>
      </c>
      <c r="I88">
        <v>13.08</v>
      </c>
      <c r="J88" t="s">
        <v>20</v>
      </c>
      <c r="K88" t="s">
        <v>47</v>
      </c>
    </row>
    <row r="89" spans="1:11" x14ac:dyDescent="0.25">
      <c r="A89" t="s">
        <v>131</v>
      </c>
      <c r="B89" t="s">
        <v>56</v>
      </c>
      <c r="C89" t="s">
        <v>57</v>
      </c>
      <c r="D89" t="s">
        <v>24</v>
      </c>
      <c r="E89" t="s">
        <v>37</v>
      </c>
      <c r="F89">
        <v>127</v>
      </c>
      <c r="G89">
        <v>34</v>
      </c>
      <c r="H89" t="s">
        <v>19</v>
      </c>
      <c r="I89">
        <v>19.920000000000002</v>
      </c>
      <c r="J89" t="s">
        <v>30</v>
      </c>
      <c r="K89" t="s">
        <v>47</v>
      </c>
    </row>
    <row r="90" spans="1:11" x14ac:dyDescent="0.25">
      <c r="A90" t="s">
        <v>132</v>
      </c>
      <c r="B90" t="s">
        <v>23</v>
      </c>
      <c r="C90" t="s">
        <v>16</v>
      </c>
      <c r="D90" t="s">
        <v>24</v>
      </c>
      <c r="E90" t="s">
        <v>25</v>
      </c>
      <c r="F90">
        <v>2194</v>
      </c>
      <c r="G90">
        <v>85</v>
      </c>
      <c r="H90" t="s">
        <v>43</v>
      </c>
      <c r="I90">
        <v>84.45</v>
      </c>
      <c r="J90" t="s">
        <v>26</v>
      </c>
      <c r="K90" t="s">
        <v>47</v>
      </c>
    </row>
    <row r="91" spans="1:11" x14ac:dyDescent="0.25">
      <c r="A91" t="s">
        <v>133</v>
      </c>
      <c r="B91" t="s">
        <v>15</v>
      </c>
      <c r="C91" t="s">
        <v>16</v>
      </c>
      <c r="D91" t="s">
        <v>24</v>
      </c>
      <c r="E91" t="s">
        <v>42</v>
      </c>
      <c r="F91">
        <v>1205</v>
      </c>
      <c r="G91">
        <v>49</v>
      </c>
      <c r="H91" t="s">
        <v>50</v>
      </c>
      <c r="I91">
        <v>85.79</v>
      </c>
      <c r="J91" t="s">
        <v>30</v>
      </c>
      <c r="K91" t="s">
        <v>21</v>
      </c>
    </row>
    <row r="92" spans="1:11" x14ac:dyDescent="0.25">
      <c r="A92" t="s">
        <v>134</v>
      </c>
      <c r="B92" t="s">
        <v>59</v>
      </c>
      <c r="C92" t="s">
        <v>29</v>
      </c>
      <c r="D92" t="s">
        <v>60</v>
      </c>
      <c r="E92" t="s">
        <v>18</v>
      </c>
      <c r="F92">
        <v>657</v>
      </c>
      <c r="G92">
        <v>17</v>
      </c>
      <c r="H92" t="s">
        <v>19</v>
      </c>
      <c r="I92">
        <v>68.849999999999994</v>
      </c>
      <c r="J92" t="s">
        <v>26</v>
      </c>
      <c r="K92" t="s">
        <v>21</v>
      </c>
    </row>
    <row r="93" spans="1:11" x14ac:dyDescent="0.25">
      <c r="A93" t="s">
        <v>135</v>
      </c>
      <c r="B93" t="s">
        <v>28</v>
      </c>
      <c r="C93" t="s">
        <v>29</v>
      </c>
      <c r="D93" t="s">
        <v>60</v>
      </c>
      <c r="E93" t="s">
        <v>37</v>
      </c>
      <c r="F93">
        <v>1377</v>
      </c>
      <c r="G93">
        <v>98</v>
      </c>
      <c r="H93" t="s">
        <v>43</v>
      </c>
      <c r="I93">
        <v>86.98</v>
      </c>
      <c r="J93" t="s">
        <v>20</v>
      </c>
      <c r="K93" t="s">
        <v>31</v>
      </c>
    </row>
    <row r="94" spans="1:11" x14ac:dyDescent="0.25">
      <c r="A94" t="s">
        <v>136</v>
      </c>
      <c r="B94" t="s">
        <v>23</v>
      </c>
      <c r="C94" t="s">
        <v>16</v>
      </c>
      <c r="D94" t="s">
        <v>60</v>
      </c>
      <c r="E94" t="s">
        <v>37</v>
      </c>
      <c r="F94">
        <v>1799</v>
      </c>
      <c r="G94">
        <v>90</v>
      </c>
      <c r="H94" t="s">
        <v>50</v>
      </c>
      <c r="I94">
        <v>27.29</v>
      </c>
      <c r="J94" t="s">
        <v>26</v>
      </c>
      <c r="K94" t="s">
        <v>21</v>
      </c>
    </row>
    <row r="95" spans="1:11" x14ac:dyDescent="0.25">
      <c r="A95" t="s">
        <v>137</v>
      </c>
      <c r="B95" t="s">
        <v>59</v>
      </c>
      <c r="C95" t="s">
        <v>29</v>
      </c>
      <c r="D95" t="s">
        <v>36</v>
      </c>
      <c r="E95" t="s">
        <v>25</v>
      </c>
      <c r="F95">
        <v>929</v>
      </c>
      <c r="G95">
        <v>118</v>
      </c>
      <c r="H95" t="s">
        <v>19</v>
      </c>
      <c r="I95">
        <v>61.34</v>
      </c>
      <c r="J95" t="s">
        <v>20</v>
      </c>
      <c r="K95" t="s">
        <v>39</v>
      </c>
    </row>
    <row r="96" spans="1:11" x14ac:dyDescent="0.25">
      <c r="A96" t="s">
        <v>138</v>
      </c>
      <c r="B96" t="s">
        <v>45</v>
      </c>
      <c r="C96" t="s">
        <v>46</v>
      </c>
      <c r="D96" t="s">
        <v>17</v>
      </c>
      <c r="E96" t="s">
        <v>37</v>
      </c>
      <c r="F96">
        <v>2138</v>
      </c>
      <c r="G96">
        <v>119</v>
      </c>
      <c r="H96" t="s">
        <v>50</v>
      </c>
      <c r="I96">
        <v>47.57</v>
      </c>
      <c r="J96" t="s">
        <v>26</v>
      </c>
      <c r="K96" t="s">
        <v>47</v>
      </c>
    </row>
    <row r="97" spans="1:11" x14ac:dyDescent="0.25">
      <c r="A97" t="s">
        <v>139</v>
      </c>
      <c r="B97" t="s">
        <v>52</v>
      </c>
      <c r="C97" t="s">
        <v>29</v>
      </c>
      <c r="D97" t="s">
        <v>17</v>
      </c>
      <c r="E97" t="s">
        <v>37</v>
      </c>
      <c r="F97">
        <v>1561</v>
      </c>
      <c r="G97">
        <v>18</v>
      </c>
      <c r="H97" t="s">
        <v>50</v>
      </c>
      <c r="I97">
        <v>67.209999999999994</v>
      </c>
      <c r="J97" t="s">
        <v>30</v>
      </c>
      <c r="K97" t="s">
        <v>39</v>
      </c>
    </row>
    <row r="98" spans="1:11" x14ac:dyDescent="0.25">
      <c r="A98" t="s">
        <v>140</v>
      </c>
      <c r="B98" t="s">
        <v>23</v>
      </c>
      <c r="C98" t="s">
        <v>16</v>
      </c>
      <c r="D98" t="s">
        <v>17</v>
      </c>
      <c r="E98" t="s">
        <v>49</v>
      </c>
      <c r="F98">
        <v>1279</v>
      </c>
      <c r="G98">
        <v>78</v>
      </c>
      <c r="H98" t="s">
        <v>43</v>
      </c>
      <c r="I98">
        <v>57.27</v>
      </c>
      <c r="J98" t="s">
        <v>20</v>
      </c>
      <c r="K98" t="s">
        <v>31</v>
      </c>
    </row>
    <row r="99" spans="1:11" x14ac:dyDescent="0.25">
      <c r="A99" t="s">
        <v>141</v>
      </c>
      <c r="B99" t="s">
        <v>33</v>
      </c>
      <c r="C99" t="s">
        <v>34</v>
      </c>
      <c r="D99" t="s">
        <v>17</v>
      </c>
      <c r="E99" t="s">
        <v>25</v>
      </c>
      <c r="F99">
        <v>1876</v>
      </c>
      <c r="G99">
        <v>67</v>
      </c>
      <c r="H99" t="s">
        <v>43</v>
      </c>
      <c r="I99">
        <v>39.21</v>
      </c>
      <c r="J99" t="s">
        <v>30</v>
      </c>
      <c r="K99" t="s">
        <v>21</v>
      </c>
    </row>
    <row r="100" spans="1:11" x14ac:dyDescent="0.25">
      <c r="A100" t="s">
        <v>142</v>
      </c>
      <c r="B100" t="s">
        <v>45</v>
      </c>
      <c r="C100" t="s">
        <v>46</v>
      </c>
      <c r="D100" t="s">
        <v>60</v>
      </c>
      <c r="E100" t="s">
        <v>49</v>
      </c>
      <c r="F100">
        <v>2160</v>
      </c>
      <c r="G100">
        <v>88</v>
      </c>
      <c r="H100" t="s">
        <v>19</v>
      </c>
      <c r="I100">
        <v>41.04</v>
      </c>
      <c r="J100" t="s">
        <v>30</v>
      </c>
      <c r="K100" t="s">
        <v>21</v>
      </c>
    </row>
    <row r="101" spans="1:11" x14ac:dyDescent="0.25">
      <c r="A101" t="s">
        <v>143</v>
      </c>
      <c r="B101" t="s">
        <v>59</v>
      </c>
      <c r="C101" t="s">
        <v>29</v>
      </c>
      <c r="D101" t="s">
        <v>17</v>
      </c>
      <c r="E101" t="s">
        <v>42</v>
      </c>
      <c r="F101">
        <v>1356</v>
      </c>
      <c r="G101">
        <v>50</v>
      </c>
      <c r="H101" t="s">
        <v>19</v>
      </c>
      <c r="I101">
        <v>74.709999999999994</v>
      </c>
      <c r="J101" t="s">
        <v>26</v>
      </c>
      <c r="K101" t="s">
        <v>39</v>
      </c>
    </row>
    <row r="102" spans="1:11" x14ac:dyDescent="0.25">
      <c r="A102" t="s">
        <v>144</v>
      </c>
      <c r="B102" t="s">
        <v>56</v>
      </c>
      <c r="C102" t="s">
        <v>57</v>
      </c>
      <c r="D102" t="s">
        <v>60</v>
      </c>
      <c r="E102" t="s">
        <v>18</v>
      </c>
      <c r="F102">
        <v>613</v>
      </c>
      <c r="G102">
        <v>20</v>
      </c>
      <c r="H102" t="s">
        <v>50</v>
      </c>
      <c r="I102">
        <v>28.24</v>
      </c>
      <c r="J102" t="s">
        <v>20</v>
      </c>
      <c r="K102" t="s">
        <v>47</v>
      </c>
    </row>
    <row r="103" spans="1:11" x14ac:dyDescent="0.25">
      <c r="A103" t="s">
        <v>145</v>
      </c>
      <c r="B103" t="s">
        <v>52</v>
      </c>
      <c r="C103" t="s">
        <v>29</v>
      </c>
      <c r="D103" t="s">
        <v>24</v>
      </c>
      <c r="E103" t="s">
        <v>49</v>
      </c>
      <c r="F103">
        <v>1527</v>
      </c>
      <c r="G103">
        <v>117</v>
      </c>
      <c r="H103" t="s">
        <v>50</v>
      </c>
      <c r="I103">
        <v>64.900000000000006</v>
      </c>
      <c r="J103" t="s">
        <v>26</v>
      </c>
      <c r="K103" t="s">
        <v>21</v>
      </c>
    </row>
    <row r="104" spans="1:11" x14ac:dyDescent="0.25">
      <c r="A104" t="s">
        <v>146</v>
      </c>
      <c r="B104" t="s">
        <v>41</v>
      </c>
      <c r="C104" t="s">
        <v>29</v>
      </c>
      <c r="D104" t="s">
        <v>24</v>
      </c>
      <c r="E104" t="s">
        <v>42</v>
      </c>
      <c r="F104">
        <v>1874</v>
      </c>
      <c r="G104">
        <v>104</v>
      </c>
      <c r="H104" t="s">
        <v>38</v>
      </c>
      <c r="I104">
        <v>71.73</v>
      </c>
      <c r="J104" t="s">
        <v>26</v>
      </c>
      <c r="K104" t="s">
        <v>47</v>
      </c>
    </row>
    <row r="105" spans="1:11" x14ac:dyDescent="0.25">
      <c r="A105" t="s">
        <v>147</v>
      </c>
      <c r="B105" t="s">
        <v>28</v>
      </c>
      <c r="C105" t="s">
        <v>29</v>
      </c>
      <c r="D105" t="s">
        <v>17</v>
      </c>
      <c r="E105" t="s">
        <v>49</v>
      </c>
      <c r="F105">
        <v>1178</v>
      </c>
      <c r="G105">
        <v>77</v>
      </c>
      <c r="H105" t="s">
        <v>50</v>
      </c>
      <c r="I105">
        <v>40.049999999999997</v>
      </c>
      <c r="J105" t="s">
        <v>30</v>
      </c>
      <c r="K105" t="s">
        <v>47</v>
      </c>
    </row>
    <row r="106" spans="1:11" x14ac:dyDescent="0.25">
      <c r="A106" t="s">
        <v>148</v>
      </c>
      <c r="B106" t="s">
        <v>28</v>
      </c>
      <c r="C106" t="s">
        <v>29</v>
      </c>
      <c r="D106" t="s">
        <v>36</v>
      </c>
      <c r="E106" t="s">
        <v>42</v>
      </c>
      <c r="F106">
        <v>136</v>
      </c>
      <c r="G106">
        <v>26</v>
      </c>
      <c r="H106" t="s">
        <v>50</v>
      </c>
      <c r="I106">
        <v>38.71</v>
      </c>
      <c r="J106" t="s">
        <v>26</v>
      </c>
      <c r="K106" t="s">
        <v>47</v>
      </c>
    </row>
    <row r="107" spans="1:11" x14ac:dyDescent="0.25">
      <c r="A107" t="s">
        <v>149</v>
      </c>
      <c r="B107" t="s">
        <v>56</v>
      </c>
      <c r="C107" t="s">
        <v>57</v>
      </c>
      <c r="D107" t="s">
        <v>24</v>
      </c>
      <c r="E107" t="s">
        <v>49</v>
      </c>
      <c r="F107">
        <v>533</v>
      </c>
      <c r="G107">
        <v>92</v>
      </c>
      <c r="H107" t="s">
        <v>50</v>
      </c>
      <c r="I107">
        <v>35.700000000000003</v>
      </c>
      <c r="J107" t="s">
        <v>26</v>
      </c>
      <c r="K107" t="s">
        <v>21</v>
      </c>
    </row>
    <row r="108" spans="1:11" x14ac:dyDescent="0.25">
      <c r="A108" t="s">
        <v>150</v>
      </c>
      <c r="B108" t="s">
        <v>41</v>
      </c>
      <c r="C108" t="s">
        <v>29</v>
      </c>
      <c r="D108" t="s">
        <v>17</v>
      </c>
      <c r="E108" t="s">
        <v>37</v>
      </c>
      <c r="F108">
        <v>2200</v>
      </c>
      <c r="G108">
        <v>108</v>
      </c>
      <c r="H108" t="s">
        <v>43</v>
      </c>
      <c r="I108">
        <v>34.94</v>
      </c>
      <c r="J108" t="s">
        <v>20</v>
      </c>
      <c r="K108" t="s">
        <v>31</v>
      </c>
    </row>
    <row r="109" spans="1:11" x14ac:dyDescent="0.25">
      <c r="A109" t="s">
        <v>151</v>
      </c>
      <c r="B109" t="s">
        <v>28</v>
      </c>
      <c r="C109" t="s">
        <v>29</v>
      </c>
      <c r="D109" t="s">
        <v>36</v>
      </c>
      <c r="E109" t="s">
        <v>18</v>
      </c>
      <c r="F109">
        <v>389</v>
      </c>
      <c r="G109">
        <v>69</v>
      </c>
      <c r="H109" t="s">
        <v>43</v>
      </c>
      <c r="I109">
        <v>27.83</v>
      </c>
      <c r="J109" t="s">
        <v>30</v>
      </c>
      <c r="K109" t="s">
        <v>21</v>
      </c>
    </row>
    <row r="110" spans="1:11" x14ac:dyDescent="0.25">
      <c r="A110" t="s">
        <v>152</v>
      </c>
      <c r="B110" t="s">
        <v>41</v>
      </c>
      <c r="C110" t="s">
        <v>29</v>
      </c>
      <c r="D110" t="s">
        <v>24</v>
      </c>
      <c r="E110" t="s">
        <v>37</v>
      </c>
      <c r="F110">
        <v>1207</v>
      </c>
      <c r="G110">
        <v>62</v>
      </c>
      <c r="H110" t="s">
        <v>38</v>
      </c>
      <c r="I110">
        <v>38.42</v>
      </c>
      <c r="J110" t="s">
        <v>30</v>
      </c>
      <c r="K110" t="s">
        <v>47</v>
      </c>
    </row>
    <row r="111" spans="1:11" x14ac:dyDescent="0.25">
      <c r="A111" t="s">
        <v>153</v>
      </c>
      <c r="B111" t="s">
        <v>41</v>
      </c>
      <c r="C111" t="s">
        <v>29</v>
      </c>
      <c r="D111" t="s">
        <v>17</v>
      </c>
      <c r="E111" t="s">
        <v>42</v>
      </c>
      <c r="F111">
        <v>581</v>
      </c>
      <c r="G111">
        <v>64</v>
      </c>
      <c r="H111" t="s">
        <v>50</v>
      </c>
      <c r="I111">
        <v>43.29</v>
      </c>
      <c r="J111" t="s">
        <v>20</v>
      </c>
      <c r="K111" t="s">
        <v>47</v>
      </c>
    </row>
    <row r="112" spans="1:11" x14ac:dyDescent="0.25">
      <c r="A112" t="s">
        <v>154</v>
      </c>
      <c r="B112" t="s">
        <v>28</v>
      </c>
      <c r="C112" t="s">
        <v>29</v>
      </c>
      <c r="D112" t="s">
        <v>36</v>
      </c>
      <c r="E112" t="s">
        <v>49</v>
      </c>
      <c r="F112">
        <v>2026</v>
      </c>
      <c r="G112">
        <v>74</v>
      </c>
      <c r="H112" t="s">
        <v>19</v>
      </c>
      <c r="I112">
        <v>44.44</v>
      </c>
      <c r="J112" t="s">
        <v>20</v>
      </c>
      <c r="K112" t="s">
        <v>21</v>
      </c>
    </row>
    <row r="113" spans="1:11" x14ac:dyDescent="0.25">
      <c r="A113" t="s">
        <v>155</v>
      </c>
      <c r="B113" t="s">
        <v>28</v>
      </c>
      <c r="C113" t="s">
        <v>29</v>
      </c>
      <c r="D113" t="s">
        <v>36</v>
      </c>
      <c r="E113" t="s">
        <v>18</v>
      </c>
      <c r="F113">
        <v>1450</v>
      </c>
      <c r="G113">
        <v>102</v>
      </c>
      <c r="H113" t="s">
        <v>43</v>
      </c>
      <c r="I113">
        <v>72.34</v>
      </c>
      <c r="J113" t="s">
        <v>30</v>
      </c>
      <c r="K113" t="s">
        <v>31</v>
      </c>
    </row>
    <row r="114" spans="1:11" x14ac:dyDescent="0.25">
      <c r="A114" t="s">
        <v>156</v>
      </c>
      <c r="B114" t="s">
        <v>28</v>
      </c>
      <c r="C114" t="s">
        <v>29</v>
      </c>
      <c r="D114" t="s">
        <v>60</v>
      </c>
      <c r="E114" t="s">
        <v>42</v>
      </c>
      <c r="F114">
        <v>1724</v>
      </c>
      <c r="G114">
        <v>93</v>
      </c>
      <c r="H114" t="s">
        <v>43</v>
      </c>
      <c r="I114">
        <v>19.02</v>
      </c>
      <c r="J114" t="s">
        <v>26</v>
      </c>
      <c r="K114" t="s">
        <v>47</v>
      </c>
    </row>
    <row r="115" spans="1:11" x14ac:dyDescent="0.25">
      <c r="A115" t="s">
        <v>157</v>
      </c>
      <c r="B115" t="s">
        <v>56</v>
      </c>
      <c r="C115" t="s">
        <v>57</v>
      </c>
      <c r="D115" t="s">
        <v>60</v>
      </c>
      <c r="E115" t="s">
        <v>37</v>
      </c>
      <c r="F115">
        <v>1221</v>
      </c>
      <c r="G115">
        <v>84</v>
      </c>
      <c r="H115" t="s">
        <v>19</v>
      </c>
      <c r="I115">
        <v>24.11</v>
      </c>
      <c r="J115" t="s">
        <v>26</v>
      </c>
      <c r="K115" t="s">
        <v>21</v>
      </c>
    </row>
    <row r="116" spans="1:11" x14ac:dyDescent="0.25">
      <c r="A116" t="s">
        <v>158</v>
      </c>
      <c r="B116" t="s">
        <v>52</v>
      </c>
      <c r="C116" t="s">
        <v>29</v>
      </c>
      <c r="D116" t="s">
        <v>60</v>
      </c>
      <c r="E116" t="s">
        <v>49</v>
      </c>
      <c r="F116">
        <v>225</v>
      </c>
      <c r="G116">
        <v>71</v>
      </c>
      <c r="H116" t="s">
        <v>50</v>
      </c>
      <c r="I116">
        <v>45.47</v>
      </c>
      <c r="J116" t="s">
        <v>20</v>
      </c>
      <c r="K116" t="s">
        <v>21</v>
      </c>
    </row>
    <row r="117" spans="1:11" x14ac:dyDescent="0.25">
      <c r="A117" t="s">
        <v>159</v>
      </c>
      <c r="B117" t="s">
        <v>41</v>
      </c>
      <c r="C117" t="s">
        <v>29</v>
      </c>
      <c r="D117" t="s">
        <v>36</v>
      </c>
      <c r="E117" t="s">
        <v>25</v>
      </c>
      <c r="F117">
        <v>291</v>
      </c>
      <c r="G117">
        <v>86</v>
      </c>
      <c r="H117" t="s">
        <v>38</v>
      </c>
      <c r="I117">
        <v>25.57</v>
      </c>
      <c r="J117" t="s">
        <v>26</v>
      </c>
      <c r="K117" t="s">
        <v>21</v>
      </c>
    </row>
    <row r="118" spans="1:11" x14ac:dyDescent="0.25">
      <c r="A118" t="s">
        <v>160</v>
      </c>
      <c r="B118" t="s">
        <v>56</v>
      </c>
      <c r="C118" t="s">
        <v>57</v>
      </c>
      <c r="D118" t="s">
        <v>17</v>
      </c>
      <c r="E118" t="s">
        <v>42</v>
      </c>
      <c r="F118">
        <v>1405</v>
      </c>
      <c r="G118">
        <v>118</v>
      </c>
      <c r="H118" t="s">
        <v>43</v>
      </c>
      <c r="I118">
        <v>15.63</v>
      </c>
      <c r="J118" t="s">
        <v>30</v>
      </c>
      <c r="K118" t="s">
        <v>21</v>
      </c>
    </row>
    <row r="119" spans="1:11" x14ac:dyDescent="0.25">
      <c r="A119" t="s">
        <v>161</v>
      </c>
      <c r="B119" t="s">
        <v>56</v>
      </c>
      <c r="C119" t="s">
        <v>57</v>
      </c>
      <c r="D119" t="s">
        <v>17</v>
      </c>
      <c r="E119" t="s">
        <v>42</v>
      </c>
      <c r="F119">
        <v>1054</v>
      </c>
      <c r="G119">
        <v>118</v>
      </c>
      <c r="H119" t="s">
        <v>43</v>
      </c>
      <c r="I119">
        <v>54.85</v>
      </c>
      <c r="J119" t="s">
        <v>30</v>
      </c>
      <c r="K119" t="s">
        <v>47</v>
      </c>
    </row>
    <row r="120" spans="1:11" x14ac:dyDescent="0.25">
      <c r="A120" t="s">
        <v>162</v>
      </c>
      <c r="B120" t="s">
        <v>56</v>
      </c>
      <c r="C120" t="s">
        <v>57</v>
      </c>
      <c r="D120" t="s">
        <v>60</v>
      </c>
      <c r="E120" t="s">
        <v>37</v>
      </c>
      <c r="F120">
        <v>151</v>
      </c>
      <c r="G120">
        <v>14</v>
      </c>
      <c r="H120" t="s">
        <v>43</v>
      </c>
      <c r="I120">
        <v>53.31</v>
      </c>
      <c r="J120" t="s">
        <v>26</v>
      </c>
      <c r="K120" t="s">
        <v>39</v>
      </c>
    </row>
    <row r="121" spans="1:11" x14ac:dyDescent="0.25">
      <c r="A121" t="s">
        <v>163</v>
      </c>
      <c r="B121" t="s">
        <v>23</v>
      </c>
      <c r="C121" t="s">
        <v>16</v>
      </c>
      <c r="D121" t="s">
        <v>17</v>
      </c>
      <c r="E121" t="s">
        <v>42</v>
      </c>
      <c r="F121">
        <v>2171</v>
      </c>
      <c r="G121">
        <v>109</v>
      </c>
      <c r="H121" t="s">
        <v>43</v>
      </c>
      <c r="I121">
        <v>39.57</v>
      </c>
      <c r="J121" t="s">
        <v>26</v>
      </c>
      <c r="K121" t="s">
        <v>47</v>
      </c>
    </row>
    <row r="122" spans="1:11" x14ac:dyDescent="0.25">
      <c r="A122" t="s">
        <v>164</v>
      </c>
      <c r="B122" t="s">
        <v>59</v>
      </c>
      <c r="C122" t="s">
        <v>29</v>
      </c>
      <c r="D122" t="s">
        <v>36</v>
      </c>
      <c r="E122" t="s">
        <v>25</v>
      </c>
      <c r="F122">
        <v>807</v>
      </c>
      <c r="G122">
        <v>95</v>
      </c>
      <c r="H122" t="s">
        <v>19</v>
      </c>
      <c r="I122">
        <v>87.14</v>
      </c>
      <c r="J122" t="s">
        <v>26</v>
      </c>
      <c r="K122" t="s">
        <v>47</v>
      </c>
    </row>
    <row r="123" spans="1:11" x14ac:dyDescent="0.25">
      <c r="A123" t="s">
        <v>165</v>
      </c>
      <c r="B123" t="s">
        <v>45</v>
      </c>
      <c r="C123" t="s">
        <v>46</v>
      </c>
      <c r="D123" t="s">
        <v>24</v>
      </c>
      <c r="E123" t="s">
        <v>25</v>
      </c>
      <c r="F123">
        <v>1494</v>
      </c>
      <c r="G123">
        <v>27</v>
      </c>
      <c r="H123" t="s">
        <v>50</v>
      </c>
      <c r="I123">
        <v>74.2</v>
      </c>
      <c r="J123" t="s">
        <v>26</v>
      </c>
      <c r="K123" t="s">
        <v>39</v>
      </c>
    </row>
    <row r="124" spans="1:11" x14ac:dyDescent="0.25">
      <c r="A124" t="s">
        <v>166</v>
      </c>
      <c r="B124" t="s">
        <v>52</v>
      </c>
      <c r="C124" t="s">
        <v>29</v>
      </c>
      <c r="D124" t="s">
        <v>36</v>
      </c>
      <c r="E124" t="s">
        <v>37</v>
      </c>
      <c r="F124">
        <v>595</v>
      </c>
      <c r="G124">
        <v>35</v>
      </c>
      <c r="H124" t="s">
        <v>43</v>
      </c>
      <c r="I124">
        <v>70.34</v>
      </c>
      <c r="J124" t="s">
        <v>30</v>
      </c>
      <c r="K124" t="s">
        <v>47</v>
      </c>
    </row>
    <row r="125" spans="1:11" x14ac:dyDescent="0.25">
      <c r="A125" t="s">
        <v>167</v>
      </c>
      <c r="B125" t="s">
        <v>41</v>
      </c>
      <c r="C125" t="s">
        <v>29</v>
      </c>
      <c r="D125" t="s">
        <v>24</v>
      </c>
      <c r="E125" t="s">
        <v>49</v>
      </c>
      <c r="F125">
        <v>1030</v>
      </c>
      <c r="G125">
        <v>74</v>
      </c>
      <c r="H125" t="s">
        <v>19</v>
      </c>
      <c r="I125">
        <v>54.83</v>
      </c>
      <c r="J125" t="s">
        <v>30</v>
      </c>
      <c r="K125" t="s">
        <v>21</v>
      </c>
    </row>
    <row r="126" spans="1:11" x14ac:dyDescent="0.25">
      <c r="A126" t="s">
        <v>168</v>
      </c>
      <c r="B126" t="s">
        <v>15</v>
      </c>
      <c r="C126" t="s">
        <v>16</v>
      </c>
      <c r="D126" t="s">
        <v>17</v>
      </c>
      <c r="E126" t="s">
        <v>42</v>
      </c>
      <c r="F126">
        <v>1929</v>
      </c>
      <c r="G126">
        <v>57</v>
      </c>
      <c r="H126" t="s">
        <v>38</v>
      </c>
      <c r="I126">
        <v>44.45</v>
      </c>
      <c r="J126" t="s">
        <v>30</v>
      </c>
      <c r="K126" t="s">
        <v>39</v>
      </c>
    </row>
    <row r="127" spans="1:11" x14ac:dyDescent="0.25">
      <c r="A127" t="s">
        <v>169</v>
      </c>
      <c r="B127" t="s">
        <v>59</v>
      </c>
      <c r="C127" t="s">
        <v>29</v>
      </c>
      <c r="D127" t="s">
        <v>24</v>
      </c>
      <c r="E127" t="s">
        <v>25</v>
      </c>
      <c r="F127">
        <v>551</v>
      </c>
      <c r="G127">
        <v>17</v>
      </c>
      <c r="H127" t="s">
        <v>50</v>
      </c>
      <c r="I127">
        <v>73.069999999999993</v>
      </c>
      <c r="J127" t="s">
        <v>20</v>
      </c>
      <c r="K127" t="s">
        <v>31</v>
      </c>
    </row>
    <row r="128" spans="1:11" x14ac:dyDescent="0.25">
      <c r="A128" t="s">
        <v>170</v>
      </c>
      <c r="B128" t="s">
        <v>59</v>
      </c>
      <c r="C128" t="s">
        <v>29</v>
      </c>
      <c r="D128" t="s">
        <v>60</v>
      </c>
      <c r="E128" t="s">
        <v>37</v>
      </c>
      <c r="F128">
        <v>2148</v>
      </c>
      <c r="G128">
        <v>18</v>
      </c>
      <c r="H128" t="s">
        <v>43</v>
      </c>
      <c r="I128">
        <v>48.16</v>
      </c>
      <c r="J128" t="s">
        <v>30</v>
      </c>
      <c r="K128" t="s">
        <v>31</v>
      </c>
    </row>
    <row r="129" spans="1:11" x14ac:dyDescent="0.25">
      <c r="A129" t="s">
        <v>171</v>
      </c>
      <c r="B129" t="s">
        <v>41</v>
      </c>
      <c r="C129" t="s">
        <v>29</v>
      </c>
      <c r="D129" t="s">
        <v>60</v>
      </c>
      <c r="E129" t="s">
        <v>18</v>
      </c>
      <c r="F129">
        <v>598</v>
      </c>
      <c r="G129">
        <v>32</v>
      </c>
      <c r="H129" t="s">
        <v>19</v>
      </c>
      <c r="I129">
        <v>72.84</v>
      </c>
      <c r="J129" t="s">
        <v>20</v>
      </c>
      <c r="K129" t="s">
        <v>39</v>
      </c>
    </row>
    <row r="130" spans="1:11" x14ac:dyDescent="0.25">
      <c r="A130" t="s">
        <v>172</v>
      </c>
      <c r="B130" t="s">
        <v>56</v>
      </c>
      <c r="C130" t="s">
        <v>57</v>
      </c>
      <c r="D130" t="s">
        <v>24</v>
      </c>
      <c r="E130" t="s">
        <v>49</v>
      </c>
      <c r="F130">
        <v>925</v>
      </c>
      <c r="G130">
        <v>84</v>
      </c>
      <c r="H130" t="s">
        <v>38</v>
      </c>
      <c r="I130">
        <v>49.89</v>
      </c>
      <c r="J130" t="s">
        <v>26</v>
      </c>
      <c r="K130" t="s">
        <v>31</v>
      </c>
    </row>
  </sheetData>
  <autoFilter ref="A5:K130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 x14ac:dyDescent="0.25"/>
  <cols>
    <col min="1" max="3" width="18" customWidth="1"/>
  </cols>
  <sheetData>
    <row r="1" spans="1:8" ht="20.25" x14ac:dyDescent="0.3">
      <c r="A1" s="5" t="s">
        <v>173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1</v>
      </c>
    </row>
    <row r="3" spans="1:8" x14ac:dyDescent="0.25">
      <c r="A3" s="3" t="s">
        <v>2</v>
      </c>
      <c r="B3" s="4"/>
      <c r="C3" s="4"/>
      <c r="D3" s="4"/>
      <c r="E3" s="4"/>
      <c r="F3" s="4"/>
      <c r="G3" s="4"/>
      <c r="H3" s="4"/>
    </row>
    <row r="5" spans="1:8" x14ac:dyDescent="0.25">
      <c r="A5" s="2" t="s">
        <v>12</v>
      </c>
      <c r="B5" s="2" t="s">
        <v>174</v>
      </c>
      <c r="C5" s="2" t="s">
        <v>175</v>
      </c>
    </row>
    <row r="6" spans="1:8" x14ac:dyDescent="0.25">
      <c r="A6" t="s">
        <v>26</v>
      </c>
      <c r="B6">
        <f>COUNTIFS(Inventory!$J$6:$J$130,A6)</f>
        <v>41</v>
      </c>
      <c r="C6">
        <f>SUMIFS(Inventory!$F$6:$F$130,Inventory!$J$6:$J$130,A6)</f>
        <v>50138</v>
      </c>
    </row>
    <row r="7" spans="1:8" x14ac:dyDescent="0.25">
      <c r="A7" t="s">
        <v>30</v>
      </c>
      <c r="B7">
        <f>COUNTIFS(Inventory!$J$6:$J$130,A7)</f>
        <v>46</v>
      </c>
      <c r="C7">
        <f>SUMIFS(Inventory!$F$6:$F$130,Inventory!$J$6:$J$130,A7)</f>
        <v>49973</v>
      </c>
    </row>
    <row r="8" spans="1:8" x14ac:dyDescent="0.25">
      <c r="A8" t="s">
        <v>20</v>
      </c>
      <c r="B8">
        <f>COUNTIFS(Inventory!$J$6:$J$130,A8)</f>
        <v>38</v>
      </c>
      <c r="C8">
        <f>SUMIFS(Inventory!$F$6:$F$130,Inventory!$J$6:$J$130,A8)</f>
        <v>41451</v>
      </c>
    </row>
  </sheetData>
  <mergeCells count="2">
    <mergeCell ref="A3:H3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5" x14ac:dyDescent="0.25"/>
  <sheetData>
    <row r="1" spans="1:8" ht="20.25" x14ac:dyDescent="0.3">
      <c r="A1" s="5" t="s">
        <v>176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1</v>
      </c>
    </row>
    <row r="3" spans="1:8" x14ac:dyDescent="0.25">
      <c r="A3" s="3" t="s">
        <v>2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177</v>
      </c>
    </row>
    <row r="7" spans="1:8" x14ac:dyDescent="0.25">
      <c r="A7" t="s">
        <v>178</v>
      </c>
      <c r="B7" t="s">
        <v>179</v>
      </c>
    </row>
    <row r="8" spans="1:8" x14ac:dyDescent="0.25">
      <c r="A8" t="s">
        <v>180</v>
      </c>
      <c r="B8" t="s">
        <v>181</v>
      </c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RiskSummary</vt:lpstr>
      <vt:lpstr>AgentGroundingNotes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2026-08-11T23:27:03Z</dcterms:created>
  <dcterms:modified xsi:type="dcterms:W3CDTF">2026-08-11T23:27:56Z</dcterms:modified>
</cp:coreProperties>
</file>